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neha\OneDrive\Desktop\git\"/>
    </mc:Choice>
  </mc:AlternateContent>
  <xr:revisionPtr revIDLastSave="0" documentId="13_ncr:1_{8DDB050A-C2B1-465C-BFFD-4133F73EE4DC}" xr6:coauthVersionLast="47" xr6:coauthVersionMax="47" xr10:uidLastSave="{00000000-0000-0000-0000-000000000000}"/>
  <bookViews>
    <workbookView xWindow="-120" yWindow="-120" windowWidth="20730" windowHeight="11160" tabRatio="653" activeTab="1" xr2:uid="{477F940A-0102-4C99-9D64-73936A240C42}"/>
  </bookViews>
  <sheets>
    <sheet name="student_performance" sheetId="1" r:id="rId1"/>
    <sheet name="Dashboard" sheetId="6" r:id="rId2"/>
    <sheet name="Search Tool" sheetId="8" r:id="rId3"/>
    <sheet name="Behavioral Analysis" sheetId="3" r:id="rId4"/>
    <sheet name="Subject Analysis" sheetId="4" r:id="rId5"/>
    <sheet name="Demographic Analysis" sheetId="5" r:id="rId6"/>
  </sheets>
  <definedNames>
    <definedName name="_xlnm._FilterDatabase" localSheetId="0" hidden="1">student_performance!$A$1:$O$123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8" l="1"/>
  <c r="D5" i="8"/>
  <c r="C5" i="8"/>
  <c r="B5" i="8"/>
  <c r="E5" i="6"/>
  <c r="F5" i="6"/>
  <c r="D5" i="6"/>
  <c r="C5" i="6"/>
  <c r="E127" i="1"/>
  <c r="E126" i="1"/>
  <c r="E125" i="1"/>
  <c r="M127" i="1"/>
  <c r="M126" i="1"/>
  <c r="M125" i="1"/>
  <c r="H125" i="1"/>
  <c r="I125" i="1"/>
  <c r="J125" i="1"/>
  <c r="K125" i="1"/>
  <c r="L125" i="1"/>
  <c r="H126" i="1"/>
  <c r="I126" i="1"/>
  <c r="J126" i="1"/>
  <c r="K126" i="1"/>
  <c r="L126" i="1"/>
  <c r="H127" i="1"/>
  <c r="I127" i="1"/>
  <c r="J127" i="1"/>
  <c r="K127" i="1"/>
  <c r="L127" i="1"/>
  <c r="G127" i="1"/>
  <c r="G126" i="1"/>
  <c r="G125" i="1"/>
  <c r="F127" i="1"/>
  <c r="F126" i="1"/>
  <c r="F125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3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5" i="1"/>
  <c r="N4" i="1"/>
  <c r="N3" i="1"/>
</calcChain>
</file>

<file path=xl/sharedStrings.xml><?xml version="1.0" encoding="utf-8"?>
<sst xmlns="http://schemas.openxmlformats.org/spreadsheetml/2006/main" count="414" uniqueCount="355">
  <si>
    <t>STU0001</t>
  </si>
  <si>
    <t>Aarav</t>
  </si>
  <si>
    <t>Sharma</t>
  </si>
  <si>
    <t>STU0002</t>
  </si>
  <si>
    <t>Abhishek</t>
  </si>
  <si>
    <t>Dubey</t>
  </si>
  <si>
    <t>STU0003</t>
  </si>
  <si>
    <t>Adarsh</t>
  </si>
  <si>
    <t>Yadav</t>
  </si>
  <si>
    <t>STU0004</t>
  </si>
  <si>
    <t>Aditi</t>
  </si>
  <si>
    <t>Mishra</t>
  </si>
  <si>
    <t>STU0005</t>
  </si>
  <si>
    <t>Aditya</t>
  </si>
  <si>
    <t>Singh</t>
  </si>
  <si>
    <t>STU0006</t>
  </si>
  <si>
    <t>Aishwarya</t>
  </si>
  <si>
    <t>Reddy</t>
  </si>
  <si>
    <t>STU0007</t>
  </si>
  <si>
    <t>Akash</t>
  </si>
  <si>
    <t>STU0008</t>
  </si>
  <si>
    <t>Alisha</t>
  </si>
  <si>
    <t>Fernandes</t>
  </si>
  <si>
    <t>STU0009</t>
  </si>
  <si>
    <t>Aman</t>
  </si>
  <si>
    <t>Kapoor</t>
  </si>
  <si>
    <t>STU0010</t>
  </si>
  <si>
    <t>Ananya</t>
  </si>
  <si>
    <t>Rao</t>
  </si>
  <si>
    <t>STU0011</t>
  </si>
  <si>
    <t>Aniket</t>
  </si>
  <si>
    <t>Pawar</t>
  </si>
  <si>
    <t>STU0012</t>
  </si>
  <si>
    <t>Ansh</t>
  </si>
  <si>
    <t>Patel</t>
  </si>
  <si>
    <t>STU0013</t>
  </si>
  <si>
    <t>Anushka</t>
  </si>
  <si>
    <t>Sethi</t>
  </si>
  <si>
    <t>STU0014</t>
  </si>
  <si>
    <t>Arjun</t>
  </si>
  <si>
    <t>Verma</t>
  </si>
  <si>
    <t>STU0015</t>
  </si>
  <si>
    <t>Arnav</t>
  </si>
  <si>
    <t>Deshmukh</t>
  </si>
  <si>
    <t>STU0016</t>
  </si>
  <si>
    <t>Aryan</t>
  </si>
  <si>
    <t>STU0017</t>
  </si>
  <si>
    <t>Ashwin</t>
  </si>
  <si>
    <t>Pillai</t>
  </si>
  <si>
    <t>STU0018</t>
  </si>
  <si>
    <t>Ayaan</t>
  </si>
  <si>
    <t>Sheikh</t>
  </si>
  <si>
    <t>STU0019</t>
  </si>
  <si>
    <t>Ayush</t>
  </si>
  <si>
    <t>Pandey</t>
  </si>
  <si>
    <t>STU0020</t>
  </si>
  <si>
    <t>Bhavna</t>
  </si>
  <si>
    <t>Shah</t>
  </si>
  <si>
    <t>STU0021</t>
  </si>
  <si>
    <t>Charu</t>
  </si>
  <si>
    <t>Bansal</t>
  </si>
  <si>
    <t>STU0022</t>
  </si>
  <si>
    <t>Chirag</t>
  </si>
  <si>
    <t>Bedi</t>
  </si>
  <si>
    <t>STU0023</t>
  </si>
  <si>
    <t>Deepak</t>
  </si>
  <si>
    <t>Chauhan</t>
  </si>
  <si>
    <t>STU0024</t>
  </si>
  <si>
    <t>Dev</t>
  </si>
  <si>
    <t>Malhotra</t>
  </si>
  <si>
    <t>STU0025</t>
  </si>
  <si>
    <t>Dhruv</t>
  </si>
  <si>
    <t>STU0026</t>
  </si>
  <si>
    <t>Divya</t>
  </si>
  <si>
    <t>Narang</t>
  </si>
  <si>
    <t>STU0027</t>
  </si>
  <si>
    <t>Diya</t>
  </si>
  <si>
    <t>Mehta</t>
  </si>
  <si>
    <t>STU0028</t>
  </si>
  <si>
    <t>Faizan</t>
  </si>
  <si>
    <t>Qureshi</t>
  </si>
  <si>
    <t>STU0029</t>
  </si>
  <si>
    <t>Farhan</t>
  </si>
  <si>
    <t>Ali</t>
  </si>
  <si>
    <t>STU0030</t>
  </si>
  <si>
    <t>Fatima</t>
  </si>
  <si>
    <t>Noor</t>
  </si>
  <si>
    <t>STU0031</t>
  </si>
  <si>
    <t>Gaurav</t>
  </si>
  <si>
    <t>Bhatia</t>
  </si>
  <si>
    <t>STU0032</t>
  </si>
  <si>
    <t>Gayatri</t>
  </si>
  <si>
    <t>Patil</t>
  </si>
  <si>
    <t>STU0033</t>
  </si>
  <si>
    <t>Harsh</t>
  </si>
  <si>
    <t>Agrawal</t>
  </si>
  <si>
    <t>STU0034</t>
  </si>
  <si>
    <t>Harshit</t>
  </si>
  <si>
    <t>Jain</t>
  </si>
  <si>
    <t>STU0035</t>
  </si>
  <si>
    <t>Heena</t>
  </si>
  <si>
    <t>Khan</t>
  </si>
  <si>
    <t>STU0036</t>
  </si>
  <si>
    <t>Hemant</t>
  </si>
  <si>
    <t>Solanki</t>
  </si>
  <si>
    <t>STU0037</t>
  </si>
  <si>
    <t>Imran</t>
  </si>
  <si>
    <t>STU0038</t>
  </si>
  <si>
    <t>Isha</t>
  </si>
  <si>
    <t>STU0039</t>
  </si>
  <si>
    <t>Ishaan</t>
  </si>
  <si>
    <t>STU0040</t>
  </si>
  <si>
    <t>Jessica</t>
  </si>
  <si>
    <t>Dsouza</t>
  </si>
  <si>
    <t>STU0041</t>
  </si>
  <si>
    <t>Juhi</t>
  </si>
  <si>
    <t>Agarwal</t>
  </si>
  <si>
    <t>STU0042</t>
  </si>
  <si>
    <t>Kabir</t>
  </si>
  <si>
    <t>Anand</t>
  </si>
  <si>
    <t>STU0043</t>
  </si>
  <si>
    <t>Kartik</t>
  </si>
  <si>
    <t>STU0044</t>
  </si>
  <si>
    <t>Kavya</t>
  </si>
  <si>
    <t>Iyer</t>
  </si>
  <si>
    <t>STU0045</t>
  </si>
  <si>
    <t>Keshav</t>
  </si>
  <si>
    <t>STU0046</t>
  </si>
  <si>
    <t>Khushi</t>
  </si>
  <si>
    <t>STU0047</t>
  </si>
  <si>
    <t>Komal</t>
  </si>
  <si>
    <t>STU0048</t>
  </si>
  <si>
    <t>Krish</t>
  </si>
  <si>
    <t>STU0049</t>
  </si>
  <si>
    <t>Kritika</t>
  </si>
  <si>
    <t>STU0050</t>
  </si>
  <si>
    <t>Kunal</t>
  </si>
  <si>
    <t>STU0051</t>
  </si>
  <si>
    <t>Lakshya</t>
  </si>
  <si>
    <t>Arora</t>
  </si>
  <si>
    <t>STU0052</t>
  </si>
  <si>
    <t>Lavanya</t>
  </si>
  <si>
    <t>STU0053</t>
  </si>
  <si>
    <t>Lokesh</t>
  </si>
  <si>
    <t>STU0054</t>
  </si>
  <si>
    <t>Mahima</t>
  </si>
  <si>
    <t>Rawat</t>
  </si>
  <si>
    <t>STU0055</t>
  </si>
  <si>
    <t>Manav</t>
  </si>
  <si>
    <t>Choudhary</t>
  </si>
  <si>
    <t>STU0056</t>
  </si>
  <si>
    <t>Mayank</t>
  </si>
  <si>
    <t>Sinha</t>
  </si>
  <si>
    <t>STU0057</t>
  </si>
  <si>
    <t>Meera</t>
  </si>
  <si>
    <t>Nair</t>
  </si>
  <si>
    <t>STU0058</t>
  </si>
  <si>
    <t>Mitali</t>
  </si>
  <si>
    <t>Ghosh</t>
  </si>
  <si>
    <t>STU0059</t>
  </si>
  <si>
    <t>Mohit</t>
  </si>
  <si>
    <t>STU0060</t>
  </si>
  <si>
    <t>Monika</t>
  </si>
  <si>
    <t>Nanda</t>
  </si>
  <si>
    <t>STU0061</t>
  </si>
  <si>
    <t>Muskan</t>
  </si>
  <si>
    <t>STU0062</t>
  </si>
  <si>
    <t>Naina</t>
  </si>
  <si>
    <t>Chawla</t>
  </si>
  <si>
    <t>STU0063</t>
  </si>
  <si>
    <t>Naman</t>
  </si>
  <si>
    <t>Gupta</t>
  </si>
  <si>
    <t>STU0064</t>
  </si>
  <si>
    <t>Naveen</t>
  </si>
  <si>
    <t>STU0065</t>
  </si>
  <si>
    <t>Neha</t>
  </si>
  <si>
    <t>Joshi</t>
  </si>
  <si>
    <t>STU0066</t>
  </si>
  <si>
    <t>Nikhil</t>
  </si>
  <si>
    <t>Tiwari</t>
  </si>
  <si>
    <t>STU0067</t>
  </si>
  <si>
    <t>Nikita</t>
  </si>
  <si>
    <t>Roy</t>
  </si>
  <si>
    <t>STU0068</t>
  </si>
  <si>
    <t>Omkar</t>
  </si>
  <si>
    <t>Jadhav</t>
  </si>
  <si>
    <t>STU0069</t>
  </si>
  <si>
    <t>Palak</t>
  </si>
  <si>
    <t>STU0070</t>
  </si>
  <si>
    <t>Parth</t>
  </si>
  <si>
    <t>STU0071</t>
  </si>
  <si>
    <t>Payal</t>
  </si>
  <si>
    <t>Thakur</t>
  </si>
  <si>
    <t>STU0072</t>
  </si>
  <si>
    <t>Piyush</t>
  </si>
  <si>
    <t>STU0073</t>
  </si>
  <si>
    <t>Pooja</t>
  </si>
  <si>
    <t>STU0074</t>
  </si>
  <si>
    <t>Pranav</t>
  </si>
  <si>
    <t>STU0075</t>
  </si>
  <si>
    <t>Pratik</t>
  </si>
  <si>
    <t>Salvi</t>
  </si>
  <si>
    <t>STU0076</t>
  </si>
  <si>
    <t>Priya</t>
  </si>
  <si>
    <t>Desai</t>
  </si>
  <si>
    <t>STU0077</t>
  </si>
  <si>
    <t>Radhika</t>
  </si>
  <si>
    <t>Sen</t>
  </si>
  <si>
    <t>STU0078</t>
  </si>
  <si>
    <t>Rahul</t>
  </si>
  <si>
    <t>STU0079</t>
  </si>
  <si>
    <t>Rakesh</t>
  </si>
  <si>
    <t>STU0080</t>
  </si>
  <si>
    <t>Reema</t>
  </si>
  <si>
    <t>Suri</t>
  </si>
  <si>
    <t>STU0081</t>
  </si>
  <si>
    <t>Reyansh</t>
  </si>
  <si>
    <t>STU0082</t>
  </si>
  <si>
    <t>Ritesh</t>
  </si>
  <si>
    <t>Kumar</t>
  </si>
  <si>
    <t>STU0083</t>
  </si>
  <si>
    <t>Ritik</t>
  </si>
  <si>
    <t>STU0084</t>
  </si>
  <si>
    <t>Ritika</t>
  </si>
  <si>
    <t>Das</t>
  </si>
  <si>
    <t>STU0085</t>
  </si>
  <si>
    <t>Riya</t>
  </si>
  <si>
    <t>STU0086</t>
  </si>
  <si>
    <t>Rohan</t>
  </si>
  <si>
    <t>Kulkarni</t>
  </si>
  <si>
    <t>STU0087</t>
  </si>
  <si>
    <t>STU0088</t>
  </si>
  <si>
    <t>Roshan</t>
  </si>
  <si>
    <t>STU0089</t>
  </si>
  <si>
    <t>Rudra</t>
  </si>
  <si>
    <t>STU0090</t>
  </si>
  <si>
    <t>Rupal</t>
  </si>
  <si>
    <t>STU0091</t>
  </si>
  <si>
    <t>Sahil</t>
  </si>
  <si>
    <t>STU0092</t>
  </si>
  <si>
    <t>Sakshi</t>
  </si>
  <si>
    <t>STU0093</t>
  </si>
  <si>
    <t>Saloni</t>
  </si>
  <si>
    <t>STU0094</t>
  </si>
  <si>
    <t>Sameer</t>
  </si>
  <si>
    <t>STU0095</t>
  </si>
  <si>
    <t>Sana</t>
  </si>
  <si>
    <t>Mirza</t>
  </si>
  <si>
    <t>STU0096</t>
  </si>
  <si>
    <t>Sanjana</t>
  </si>
  <si>
    <t>STU0097</t>
  </si>
  <si>
    <t>Sanya</t>
  </si>
  <si>
    <t>STU0098</t>
  </si>
  <si>
    <t>Saurabh</t>
  </si>
  <si>
    <t>Tripathi</t>
  </si>
  <si>
    <t>STU0099</t>
  </si>
  <si>
    <t>Shivam</t>
  </si>
  <si>
    <t>Tandon</t>
  </si>
  <si>
    <t>STU0100</t>
  </si>
  <si>
    <t>Shreya</t>
  </si>
  <si>
    <t>STU0101</t>
  </si>
  <si>
    <t>Siddharth</t>
  </si>
  <si>
    <t>STU0102</t>
  </si>
  <si>
    <t>Simran</t>
  </si>
  <si>
    <t>Kaur</t>
  </si>
  <si>
    <t>STU0103</t>
  </si>
  <si>
    <t>Sneha</t>
  </si>
  <si>
    <t>STU0104</t>
  </si>
  <si>
    <t>Tamanna</t>
  </si>
  <si>
    <t>STU0105</t>
  </si>
  <si>
    <t>Tania</t>
  </si>
  <si>
    <t>Dutta</t>
  </si>
  <si>
    <t>STU0106</t>
  </si>
  <si>
    <t>Tanvi</t>
  </si>
  <si>
    <t>Bhatt</t>
  </si>
  <si>
    <t>STU0107</t>
  </si>
  <si>
    <t>Tarun</t>
  </si>
  <si>
    <t>Gill</t>
  </si>
  <si>
    <t>STU0108</t>
  </si>
  <si>
    <t>Tejas</t>
  </si>
  <si>
    <t>STU0109</t>
  </si>
  <si>
    <t>Trisha</t>
  </si>
  <si>
    <t>Paul</t>
  </si>
  <si>
    <t>STU0110</t>
  </si>
  <si>
    <t>Tushar</t>
  </si>
  <si>
    <t>Naik</t>
  </si>
  <si>
    <t>STU0111</t>
  </si>
  <si>
    <t>Uday</t>
  </si>
  <si>
    <t>Shetty</t>
  </si>
  <si>
    <t>STU0112</t>
  </si>
  <si>
    <t>Vaishnavi</t>
  </si>
  <si>
    <t>More</t>
  </si>
  <si>
    <t>STU0113</t>
  </si>
  <si>
    <t>Varun</t>
  </si>
  <si>
    <t>Saxena</t>
  </si>
  <si>
    <t>STU0114</t>
  </si>
  <si>
    <t>Vikas</t>
  </si>
  <si>
    <t>STU0115</t>
  </si>
  <si>
    <t>Vinayak</t>
  </si>
  <si>
    <t>STU0116</t>
  </si>
  <si>
    <t>Vivaan</t>
  </si>
  <si>
    <t>STU0117</t>
  </si>
  <si>
    <t>Vivek</t>
  </si>
  <si>
    <t>Menon</t>
  </si>
  <si>
    <t>STU0118</t>
  </si>
  <si>
    <t>STU0119</t>
  </si>
  <si>
    <t>Yash</t>
  </si>
  <si>
    <t>STU0120</t>
  </si>
  <si>
    <t>Zaid</t>
  </si>
  <si>
    <t>Ansari</t>
  </si>
  <si>
    <t>STU0121</t>
  </si>
  <si>
    <t>Zoya</t>
  </si>
  <si>
    <t>Siddiqui</t>
  </si>
  <si>
    <t>STUDENT_ID</t>
  </si>
  <si>
    <t xml:space="preserve">STUDY HOURS </t>
  </si>
  <si>
    <t>ATTENDANCE %</t>
  </si>
  <si>
    <t xml:space="preserve">FIRST NAME </t>
  </si>
  <si>
    <t xml:space="preserve">LAST NAME </t>
  </si>
  <si>
    <t xml:space="preserve">AGE </t>
  </si>
  <si>
    <t xml:space="preserve">SUBJECTS </t>
  </si>
  <si>
    <t xml:space="preserve">TOTAL MARKS </t>
  </si>
  <si>
    <t xml:space="preserve">PERCENTAGE </t>
  </si>
  <si>
    <t xml:space="preserve">GRADE </t>
  </si>
  <si>
    <t>REMARK</t>
  </si>
  <si>
    <t>ENGLISH</t>
  </si>
  <si>
    <t xml:space="preserve">MATHS </t>
  </si>
  <si>
    <t>SCIENCE</t>
  </si>
  <si>
    <t>HISTORY</t>
  </si>
  <si>
    <t>HINDI</t>
  </si>
  <si>
    <t>MINIMUM</t>
  </si>
  <si>
    <t xml:space="preserve">AVERAGE </t>
  </si>
  <si>
    <t>Grand Total</t>
  </si>
  <si>
    <t>F</t>
  </si>
  <si>
    <t>B</t>
  </si>
  <si>
    <t>C</t>
  </si>
  <si>
    <t>D</t>
  </si>
  <si>
    <t xml:space="preserve">ENGLISH </t>
  </si>
  <si>
    <t xml:space="preserve">MATHS  </t>
  </si>
  <si>
    <t xml:space="preserve">SCIENCE </t>
  </si>
  <si>
    <t xml:space="preserve">HISTORY </t>
  </si>
  <si>
    <t xml:space="preserve">HINDI  </t>
  </si>
  <si>
    <t>Student_id</t>
  </si>
  <si>
    <t xml:space="preserve">First name </t>
  </si>
  <si>
    <t xml:space="preserve">Last Name </t>
  </si>
  <si>
    <t xml:space="preserve">Percentage </t>
  </si>
  <si>
    <t>Grade</t>
  </si>
  <si>
    <t xml:space="preserve">STUDENT SEARCH TOOL </t>
  </si>
  <si>
    <t>MAXIMUM</t>
  </si>
  <si>
    <t>STUDENT PERFORMANCE ANALYSIS</t>
  </si>
  <si>
    <t>BEHAVIORAL ANALYSIS</t>
  </si>
  <si>
    <t>SUBJECT ANALYSIS</t>
  </si>
  <si>
    <t>DEMOGRAPHIC ANALYSIS</t>
  </si>
  <si>
    <t>Avg PEERCENTAGE</t>
  </si>
  <si>
    <t xml:space="preserve">GRADES </t>
  </si>
  <si>
    <t xml:space="preserve">Avg STUDY HOURS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</si>
</sst>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20"/>
      <color theme="1" tint="4.9989318521683403E-2"/>
      <name val="Times New Roman"/>
      <family val="1"/>
    </font>
    <font>
      <sz val="11"/>
      <color theme="1" tint="4.9989318521683403E-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9" fontId="0" fillId="35" borderId="0" xfId="0" applyNumberFormat="1" applyFill="1"/>
    <xf numFmtId="0" fontId="0" fillId="35" borderId="0" xfId="0" applyFill="1" applyAlignment="1">
      <alignment horizontal="center"/>
    </xf>
    <xf numFmtId="0" fontId="0" fillId="36" borderId="0" xfId="0" applyFill="1"/>
    <xf numFmtId="0" fontId="0" fillId="37" borderId="0" xfId="0" applyFill="1" applyAlignment="1">
      <alignment horizontal="center"/>
    </xf>
    <xf numFmtId="1" fontId="0" fillId="0" borderId="10" xfId="0" applyNumberFormat="1" applyBorder="1"/>
    <xf numFmtId="9" fontId="0" fillId="0" borderId="0" xfId="1" applyFont="1"/>
    <xf numFmtId="0" fontId="20" fillId="38" borderId="15" xfId="0" applyFont="1" applyFill="1" applyBorder="1" applyAlignment="1">
      <alignment horizontal="center"/>
    </xf>
    <xf numFmtId="0" fontId="20" fillId="38" borderId="12" xfId="0" applyFont="1" applyFill="1" applyBorder="1" applyAlignment="1">
      <alignment horizontal="center"/>
    </xf>
    <xf numFmtId="0" fontId="20" fillId="38" borderId="14" xfId="0" applyFont="1" applyFill="1" applyBorder="1" applyAlignment="1">
      <alignment horizontal="center"/>
    </xf>
    <xf numFmtId="0" fontId="0" fillId="40" borderId="0" xfId="0" applyFill="1"/>
    <xf numFmtId="1" fontId="0" fillId="40" borderId="10" xfId="0" applyNumberFormat="1" applyFill="1" applyBorder="1"/>
    <xf numFmtId="0" fontId="0" fillId="41" borderId="10" xfId="0" applyFill="1" applyBorder="1"/>
    <xf numFmtId="0" fontId="0" fillId="40" borderId="10" xfId="0" applyFill="1" applyBorder="1" applyAlignment="1">
      <alignment horizontal="left"/>
    </xf>
    <xf numFmtId="0" fontId="0" fillId="42" borderId="10" xfId="0" applyFill="1" applyBorder="1"/>
    <xf numFmtId="0" fontId="0" fillId="42" borderId="0" xfId="0" applyFill="1"/>
    <xf numFmtId="9" fontId="0" fillId="40" borderId="10" xfId="0" applyNumberFormat="1" applyFill="1" applyBorder="1"/>
    <xf numFmtId="0" fontId="0" fillId="42" borderId="10" xfId="0" applyFill="1" applyBorder="1" applyAlignment="1">
      <alignment horizontal="left"/>
    </xf>
    <xf numFmtId="9" fontId="0" fillId="42" borderId="10" xfId="0" applyNumberFormat="1" applyFill="1" applyBorder="1"/>
    <xf numFmtId="0" fontId="20" fillId="38" borderId="10" xfId="0" applyFont="1" applyFill="1" applyBorder="1" applyAlignment="1">
      <alignment horizontal="center"/>
    </xf>
    <xf numFmtId="0" fontId="23" fillId="42" borderId="0" xfId="0" applyFont="1" applyFill="1"/>
    <xf numFmtId="0" fontId="24" fillId="42" borderId="0" xfId="0" applyFont="1" applyFill="1"/>
    <xf numFmtId="0" fontId="24" fillId="40" borderId="0" xfId="0" applyFont="1" applyFill="1"/>
    <xf numFmtId="0" fontId="21" fillId="39" borderId="10" xfId="0" applyFont="1" applyFill="1" applyBorder="1"/>
    <xf numFmtId="9" fontId="21" fillId="39" borderId="10" xfId="1" applyFont="1" applyFill="1" applyBorder="1"/>
    <xf numFmtId="0" fontId="16" fillId="0" borderId="10" xfId="0" applyFont="1" applyBorder="1"/>
    <xf numFmtId="1" fontId="0" fillId="0" borderId="10" xfId="1" applyNumberFormat="1" applyFont="1" applyBorder="1"/>
    <xf numFmtId="9" fontId="0" fillId="0" borderId="10" xfId="0" applyNumberFormat="1" applyBorder="1"/>
    <xf numFmtId="0" fontId="25" fillId="33" borderId="0" xfId="0" applyFont="1" applyFill="1"/>
    <xf numFmtId="0" fontId="26" fillId="33" borderId="0" xfId="0" applyFont="1" applyFill="1"/>
    <xf numFmtId="0" fontId="0" fillId="34" borderId="0" xfId="0" applyFill="1" applyAlignment="1">
      <alignment horizontal="center"/>
    </xf>
    <xf numFmtId="0" fontId="22" fillId="33" borderId="0" xfId="0" applyFont="1" applyFill="1" applyAlignment="1">
      <alignment horizontal="center"/>
    </xf>
    <xf numFmtId="0" fontId="23" fillId="41" borderId="0" xfId="0" applyFont="1" applyFill="1" applyAlignment="1">
      <alignment horizontal="center"/>
    </xf>
    <xf numFmtId="0" fontId="23" fillId="42" borderId="0" xfId="0" applyFont="1" applyFill="1" applyAlignment="1">
      <alignment horizontal="center"/>
    </xf>
    <xf numFmtId="0" fontId="18" fillId="40" borderId="0" xfId="0" applyFont="1" applyFill="1"/>
    <xf numFmtId="0" fontId="21" fillId="40" borderId="16" xfId="0" applyFont="1" applyFill="1" applyBorder="1"/>
    <xf numFmtId="0" fontId="21" fillId="40" borderId="11" xfId="0" applyFont="1" applyFill="1" applyBorder="1"/>
    <xf numFmtId="9" fontId="21" fillId="40" borderId="11" xfId="1" applyFont="1" applyFill="1" applyBorder="1"/>
    <xf numFmtId="0" fontId="21" fillId="40" borderId="13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4" tint="0.399975585192419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3" tint="0.39997558519241921"/>
        </patternFill>
      </fill>
    </dxf>
    <dxf>
      <fill>
        <patternFill>
          <bgColor theme="3" tint="0.3999755851924192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D3D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[student_performance_analysis.xlsx]Demographic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 v/s Performance</a:t>
            </a:r>
            <a:r>
              <a:rPr lang="en-US" b="1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'Demographic Analysis'!$C$4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Analysis'!$B$5:$B$10</c:f>
              <c:strCache>
                <c:ptCount val="5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</c:strCache>
            </c:strRef>
          </c:cat>
          <c:val>
            <c:numRef>
              <c:f>'Demographic Analysis'!$C$5:$C$10</c:f>
              <c:numCache>
                <c:formatCode>0%</c:formatCode>
                <c:ptCount val="5"/>
                <c:pt idx="0">
                  <c:v>0.61458333333333337</c:v>
                </c:pt>
                <c:pt idx="1">
                  <c:v>0.59136363636363654</c:v>
                </c:pt>
                <c:pt idx="2">
                  <c:v>0.59499999999999997</c:v>
                </c:pt>
                <c:pt idx="3">
                  <c:v>0.52434782608695651</c:v>
                </c:pt>
                <c:pt idx="4">
                  <c:v>0.55083333333333329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6-4B38-A840-A57EF564DB5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91521728"/>
        <c:axId val="291532768"/>
      </c:lineChart>
      <c:catAx>
        <c:axId val="2915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532768"/>
        <c:crosses val="autoZero"/>
        <c:auto val="1"/>
        <c:lblAlgn val="ctr"/>
        <c:lblOffset val="100"/>
        <c:noMultiLvlLbl val="0"/>
      </c:catAx>
      <c:valAx>
        <c:axId val="2915327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5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[student_performance_analysis.xlsx]Subject Analysis!PivotTable3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Marks v/s Subjects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358705161854767E-2"/>
          <c:y val="0.14249781277340332"/>
          <c:w val="0.63467760279965002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'Subject Analysis'!$B$4</c:f>
              <c:strCache>
                <c:ptCount val="1"/>
                <c:pt idx="0">
                  <c:v>ENGLISH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'Subject Analysis'!$B$5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Analysis'!$B$5</c:f>
              <c:numCache>
                <c:formatCode>0</c:formatCode>
                <c:ptCount val="1"/>
                <c:pt idx="0">
                  <c:v>61.206611570247937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3-464D-9DB7-061A3BD91E43}"/>
            </c:ext>
          </c:extLst>
        </c:ser>
        <c:ser>
          <c:idx val="1"/>
          <c:order val="1"/>
          <c:tx>
            <c:strRef>
              <c:f>'Subject Analysis'!$C$4</c:f>
              <c:strCache>
                <c:ptCount val="1"/>
                <c:pt idx="0">
                  <c:v>MATHS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'Subject Analysis'!$B$5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Analysis'!$C$5</c:f>
              <c:numCache>
                <c:formatCode>0</c:formatCode>
                <c:ptCount val="1"/>
                <c:pt idx="0">
                  <c:v>54.785123966942152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3-464D-9DB7-061A3BD91E43}"/>
            </c:ext>
          </c:extLst>
        </c:ser>
        <c:ser>
          <c:idx val="2"/>
          <c:order val="2"/>
          <c:tx>
            <c:strRef>
              <c:f>'Subject Analysis'!$D$4</c:f>
              <c:strCache>
                <c:ptCount val="1"/>
                <c:pt idx="0">
                  <c:v>SCIENCE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'Subject Analysis'!$B$5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Analysis'!$D$5</c:f>
              <c:numCache>
                <c:formatCode>0</c:formatCode>
                <c:ptCount val="1"/>
                <c:pt idx="0">
                  <c:v>57.603305785123965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13-464D-9DB7-061A3BD91E43}"/>
            </c:ext>
          </c:extLst>
        </c:ser>
        <c:ser>
          <c:idx val="3"/>
          <c:order val="3"/>
          <c:tx>
            <c:strRef>
              <c:f>'Subject Analysis'!$E$4</c:f>
              <c:strCache>
                <c:ptCount val="1"/>
                <c:pt idx="0">
                  <c:v>HISTORY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'Subject Analysis'!$B$5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Analysis'!$E$5</c:f>
              <c:numCache>
                <c:formatCode>0</c:formatCode>
                <c:ptCount val="1"/>
                <c:pt idx="0">
                  <c:v>53.041322314049587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13-464D-9DB7-061A3BD91E43}"/>
            </c:ext>
          </c:extLst>
        </c:ser>
        <c:ser>
          <c:idx val="4"/>
          <c:order val="4"/>
          <c:tx>
            <c:strRef>
              <c:f>'Subject Analysis'!$F$4</c:f>
              <c:strCache>
                <c:ptCount val="1"/>
                <c:pt idx="0">
                  <c:v>HINDI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'Subject Analysis'!$B$5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Analysis'!$F$5</c:f>
              <c:numCache>
                <c:formatCode>0</c:formatCode>
                <c:ptCount val="1"/>
                <c:pt idx="0">
                  <c:v>61.438016528925623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13-464D-9DB7-061A3BD91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300144"/>
        <c:axId val="1453303024"/>
      </c:barChart>
      <c:catAx>
        <c:axId val="1453300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3303024"/>
        <c:crosses val="autoZero"/>
        <c:auto val="1"/>
        <c:lblAlgn val="ctr"/>
        <c:lblOffset val="100"/>
        <c:noMultiLvlLbl val="0"/>
      </c:catAx>
      <c:valAx>
        <c:axId val="145330302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30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[student_performance_analysis.xlsx]Behavioral 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Avg</a:t>
            </a:r>
            <a:r>
              <a:rPr lang="en-US" b="1" baseline="0"/>
              <a:t> Study Hours v/s Grade</a:t>
            </a: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'Behavioral Analysis'!$C$4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'Behavioral Analysis'!$B$5:$B$9</c:f>
              <c:strCache>
                <c:ptCount val="4"/>
                <c:pt idx="0">
                  <c:v>B</c:v>
                </c:pt>
                <c:pt idx="1">
                  <c:v>C</c:v>
                </c:pt>
                <c:pt idx="2">
                  <c:v>D</c:v>
                </c:pt>
                <c:pt idx="3">
                  <c:v>F</c:v>
                </c:pt>
              </c:strCache>
            </c:strRef>
          </c:cat>
          <c:val>
            <c:numRef>
              <c:f>'Behavioral Analysis'!$C$5:$C$9</c:f>
              <c:numCache>
                <c:formatCode>0</c:formatCode>
                <c:ptCount val="4"/>
                <c:pt idx="0">
                  <c:v>22.294117647058822</c:v>
                </c:pt>
                <c:pt idx="1">
                  <c:v>15.125</c:v>
                </c:pt>
                <c:pt idx="2">
                  <c:v>15.377358490566039</c:v>
                </c:pt>
                <c:pt idx="3">
                  <c:v>14.636363636363637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6-4682-B735-A0082A3904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2110688"/>
        <c:axId val="1382101088"/>
      </c:barChart>
      <c:catAx>
        <c:axId val="138211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01088"/>
        <c:crosses val="autoZero"/>
        <c:auto val="1"/>
        <c:lblAlgn val="ctr"/>
        <c:lblOffset val="100"/>
        <c:noMultiLvlLbl val="0"/>
      </c:catAx>
      <c:valAx>
        <c:axId val="138210108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1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[student_performance_analysis.xlsx]Behavioral 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Avg</a:t>
            </a:r>
            <a:r>
              <a:rPr lang="en-US" b="1" baseline="0"/>
              <a:t> Study Hours v/s Grade</a:t>
            </a: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'Behavioral Analysis'!$C$4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'Behavioral Analysis'!$B$5:$B$9</c:f>
              <c:strCache>
                <c:ptCount val="4"/>
                <c:pt idx="0">
                  <c:v>B</c:v>
                </c:pt>
                <c:pt idx="1">
                  <c:v>C</c:v>
                </c:pt>
                <c:pt idx="2">
                  <c:v>D</c:v>
                </c:pt>
                <c:pt idx="3">
                  <c:v>F</c:v>
                </c:pt>
              </c:strCache>
            </c:strRef>
          </c:cat>
          <c:val>
            <c:numRef>
              <c:f>'Behavioral Analysis'!$C$5:$C$9</c:f>
              <c:numCache>
                <c:formatCode>0</c:formatCode>
                <c:ptCount val="4"/>
                <c:pt idx="0">
                  <c:v>22.294117647058822</c:v>
                </c:pt>
                <c:pt idx="1">
                  <c:v>15.125</c:v>
                </c:pt>
                <c:pt idx="2">
                  <c:v>15.377358490566039</c:v>
                </c:pt>
                <c:pt idx="3">
                  <c:v>14.636363636363637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3-4B38-869E-F01071CB82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2110688"/>
        <c:axId val="1382101088"/>
      </c:barChart>
      <c:catAx>
        <c:axId val="138211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01088"/>
        <c:crosses val="autoZero"/>
        <c:auto val="1"/>
        <c:lblAlgn val="ctr"/>
        <c:lblOffset val="100"/>
        <c:noMultiLvlLbl val="0"/>
      </c:catAx>
      <c:valAx>
        <c:axId val="138210108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1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[student_performance_analysis.xlsx]Subject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Marks v/s Subjects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4358705161854767E-2"/>
          <c:y val="0.14249781277340332"/>
          <c:w val="0.63467760279965002"/>
          <c:h val="0.75010279965004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'Subject Analysis'!$B$4</c:f>
              <c:strCache>
                <c:ptCount val="1"/>
                <c:pt idx="0">
                  <c:v>ENGLISH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Analysis'!$B$5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Analysis'!$B$5</c:f>
              <c:numCache>
                <c:formatCode>0</c:formatCode>
                <c:ptCount val="1"/>
                <c:pt idx="0">
                  <c:v>61.206611570247937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B-4B1A-BC56-87FA8588E34E}"/>
            </c:ext>
          </c:extLst>
        </c:ser>
        <c:ser>
          <c:idx val="1"/>
          <c:order val="1"/>
          <c:tx>
            <c:strRef>
              <c:f>'Subject Analysis'!$C$4</c:f>
              <c:strCache>
                <c:ptCount val="1"/>
                <c:pt idx="0">
                  <c:v>MATHS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Analysis'!$B$5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Analysis'!$C$5</c:f>
              <c:numCache>
                <c:formatCode>0</c:formatCode>
                <c:ptCount val="1"/>
                <c:pt idx="0">
                  <c:v>54.785123966942152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EB-4B1A-BC56-87FA8588E34E}"/>
            </c:ext>
          </c:extLst>
        </c:ser>
        <c:ser>
          <c:idx val="2"/>
          <c:order val="2"/>
          <c:tx>
            <c:strRef>
              <c:f>'Subject Analysis'!$D$4</c:f>
              <c:strCache>
                <c:ptCount val="1"/>
                <c:pt idx="0">
                  <c:v>SCIENCE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Analysis'!$B$5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Analysis'!$D$5</c:f>
              <c:numCache>
                <c:formatCode>0</c:formatCode>
                <c:ptCount val="1"/>
                <c:pt idx="0">
                  <c:v>57.603305785123965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EB-4B1A-BC56-87FA8588E34E}"/>
            </c:ext>
          </c:extLst>
        </c:ser>
        <c:ser>
          <c:idx val="3"/>
          <c:order val="3"/>
          <c:tx>
            <c:strRef>
              <c:f>'Subject Analysis'!$E$4</c:f>
              <c:strCache>
                <c:ptCount val="1"/>
                <c:pt idx="0">
                  <c:v>HISTORY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Analysis'!$B$5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Analysis'!$E$5</c:f>
              <c:numCache>
                <c:formatCode>0</c:formatCode>
                <c:ptCount val="1"/>
                <c:pt idx="0">
                  <c:v>53.041322314049587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EB-4B1A-BC56-87FA8588E34E}"/>
            </c:ext>
          </c:extLst>
        </c:ser>
        <c:ser>
          <c:idx val="4"/>
          <c:order val="4"/>
          <c:tx>
            <c:strRef>
              <c:f>'Subject Analysis'!$F$4</c:f>
              <c:strCache>
                <c:ptCount val="1"/>
                <c:pt idx="0">
                  <c:v>HINDI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'Subject Analysis'!$B$5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'Subject Analysis'!$F$5</c:f>
              <c:numCache>
                <c:formatCode>0</c:formatCode>
                <c:ptCount val="1"/>
                <c:pt idx="0">
                  <c:v>61.438016528925623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EB-4B1A-BC56-87FA8588E3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3300144"/>
        <c:axId val="1453303024"/>
      </c:barChart>
      <c:catAx>
        <c:axId val="1453300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3303024"/>
        <c:crosses val="autoZero"/>
        <c:auto val="1"/>
        <c:lblAlgn val="ctr"/>
        <c:lblOffset val="100"/>
        <c:noMultiLvlLbl val="0"/>
      </c:catAx>
      <c:valAx>
        <c:axId val="145330302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30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[student_performance_analysis.xlsx]Demographic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 v/s Performance</a:t>
            </a:r>
            <a:r>
              <a:rPr lang="en-US" b="1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'Demographic Analysis'!$C$4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'Demographic Analysis'!$B$5:$B$10</c:f>
              <c:strCache>
                <c:ptCount val="5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</c:strCache>
            </c:strRef>
          </c:cat>
          <c:val>
            <c:numRef>
              <c:f>'Demographic Analysis'!$C$5:$C$10</c:f>
              <c:numCache>
                <c:formatCode>0%</c:formatCode>
                <c:ptCount val="5"/>
                <c:pt idx="0">
                  <c:v>0.61458333333333337</c:v>
                </c:pt>
                <c:pt idx="1">
                  <c:v>0.59136363636363654</c:v>
                </c:pt>
                <c:pt idx="2">
                  <c:v>0.59499999999999997</c:v>
                </c:pt>
                <c:pt idx="3">
                  <c:v>0.52434782608695651</c:v>
                </c:pt>
                <c:pt idx="4">
                  <c:v>0.55083333333333329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2A-4153-A0B7-6EDBE352D3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91521728"/>
        <c:axId val="291532768"/>
      </c:lineChart>
      <c:catAx>
        <c:axId val="29152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532768"/>
        <c:crosses val="autoZero"/>
        <c:auto val="1"/>
        <c:lblAlgn val="ctr"/>
        <c:lblOffset val="100"/>
        <c:noMultiLvlLbl val="0"/>
      </c:catAx>
      <c:valAx>
        <c:axId val="29153276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52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21167</xdr:rowOff>
    </xdr:from>
    <xdr:to>
      <xdr:col>6</xdr:col>
      <xdr:colOff>21167</xdr:colOff>
      <xdr:row>20</xdr:row>
      <xdr:rowOff>169332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CA0E1B-DD0B-4D70-953E-D83BAC347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221456</xdr:colOff>
      <xdr:row>6</xdr:row>
      <xdr:rowOff>35719</xdr:rowOff>
    </xdr:from>
    <xdr:to>
      <xdr:col>13</xdr:col>
      <xdr:colOff>240506</xdr:colOff>
      <xdr:row>21</xdr:row>
      <xdr:rowOff>26194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FD6F94-739C-4172-9E16-3000B23F4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432859</xdr:colOff>
      <xdr:row>6</xdr:row>
      <xdr:rowOff>20109</xdr:rowOff>
    </xdr:from>
    <xdr:to>
      <xdr:col>21</xdr:col>
      <xdr:colOff>19050</xdr:colOff>
      <xdr:row>20</xdr:row>
      <xdr:rowOff>143934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A313FA7-5699-4CEF-8A15-C5B082A0E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2</xdr:row>
      <xdr:rowOff>128587</xdr:rowOff>
    </xdr:from>
    <xdr:to>
      <xdr:col>10</xdr:col>
      <xdr:colOff>57150</xdr:colOff>
      <xdr:row>17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39BDFF-1570-0970-3E27-3C2A3473C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133349</xdr:rowOff>
    </xdr:from>
    <xdr:to>
      <xdr:col>13</xdr:col>
      <xdr:colOff>409575</xdr:colOff>
      <xdr:row>17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A90FA-7C5F-60C5-D856-0E0E4CFD4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2</xdr:row>
      <xdr:rowOff>185737</xdr:rowOff>
    </xdr:from>
    <xdr:to>
      <xdr:col>11</xdr:col>
      <xdr:colOff>133350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70CD1-B72A-A5D0-DBBE-3ABDD239B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 vishwakarma" refreshedDate="46152.019746759259" createdVersion="8" refreshedVersion="8" minRefreshableVersion="3" recordCount="121" xr:uid="{1F1DC759-AE9F-4CC6-B888-36ED91928221}">
  <cacheSource type="worksheet">
    <worksheetSource ref="A2:O123" sheet="student_performance"/>
  </cacheSource>
  <cacheFields count="15">
    <cacheField name="STUDENT_ID" numFmtId="0">
      <sharedItems count="121">
        <s v="STU0001"/>
        <s v="STU0002"/>
        <s v="STU0003"/>
        <s v="STU0004"/>
        <s v="STU0005"/>
        <s v="STU0006"/>
        <s v="STU0007"/>
        <s v="STU0008"/>
        <s v="STU0009"/>
        <s v="STU0010"/>
        <s v="STU0011"/>
        <s v="STU0012"/>
        <s v="STU0013"/>
        <s v="STU0014"/>
        <s v="STU0015"/>
        <s v="STU0016"/>
        <s v="STU0017"/>
        <s v="STU0018"/>
        <s v="STU0019"/>
        <s v="STU0020"/>
        <s v="STU0021"/>
        <s v="STU0022"/>
        <s v="STU0023"/>
        <s v="STU0024"/>
        <s v="STU0025"/>
        <s v="STU0026"/>
        <s v="STU0027"/>
        <s v="STU0028"/>
        <s v="STU0029"/>
        <s v="STU0030"/>
        <s v="STU0031"/>
        <s v="STU0032"/>
        <s v="STU0033"/>
        <s v="STU0034"/>
        <s v="STU0035"/>
        <s v="STU0036"/>
        <s v="STU0037"/>
        <s v="STU0038"/>
        <s v="STU0039"/>
        <s v="STU0040"/>
        <s v="STU0041"/>
        <s v="STU0042"/>
        <s v="STU0043"/>
        <s v="STU0044"/>
        <s v="STU0045"/>
        <s v="STU0046"/>
        <s v="STU0047"/>
        <s v="STU0048"/>
        <s v="STU0049"/>
        <s v="STU0050"/>
        <s v="STU0051"/>
        <s v="STU0052"/>
        <s v="STU0053"/>
        <s v="STU0054"/>
        <s v="STU0055"/>
        <s v="STU0056"/>
        <s v="STU0057"/>
        <s v="STU0058"/>
        <s v="STU0059"/>
        <s v="STU0060"/>
        <s v="STU0061"/>
        <s v="STU0062"/>
        <s v="STU0063"/>
        <s v="STU0064"/>
        <s v="STU0065"/>
        <s v="STU0066"/>
        <s v="STU0067"/>
        <s v="STU0068"/>
        <s v="STU0069"/>
        <s v="STU0070"/>
        <s v="STU0071"/>
        <s v="STU0072"/>
        <s v="STU0073"/>
        <s v="STU0074"/>
        <s v="STU0075"/>
        <s v="STU0076"/>
        <s v="STU0077"/>
        <s v="STU0078"/>
        <s v="STU0079"/>
        <s v="STU0080"/>
        <s v="STU0081"/>
        <s v="STU0082"/>
        <s v="STU0083"/>
        <s v="STU0084"/>
        <s v="STU0085"/>
        <s v="STU0086"/>
        <s v="STU0087"/>
        <s v="STU0088"/>
        <s v="STU0089"/>
        <s v="STU0090"/>
        <s v="STU0091"/>
        <s v="STU0092"/>
        <s v="STU0093"/>
        <s v="STU0094"/>
        <s v="STU0095"/>
        <s v="STU0096"/>
        <s v="STU0097"/>
        <s v="STU0098"/>
        <s v="STU0099"/>
        <s v="STU0100"/>
        <s v="STU0101"/>
        <s v="STU0102"/>
        <s v="STU0103"/>
        <s v="STU0104"/>
        <s v="STU0105"/>
        <s v="STU0106"/>
        <s v="STU0107"/>
        <s v="STU0108"/>
        <s v="STU0109"/>
        <s v="STU0110"/>
        <s v="STU0111"/>
        <s v="STU0112"/>
        <s v="STU0113"/>
        <s v="STU0114"/>
        <s v="STU0115"/>
        <s v="STU0116"/>
        <s v="STU0117"/>
        <s v="STU0118"/>
        <s v="STU0119"/>
        <s v="STU0120"/>
        <s v="STU0121"/>
      </sharedItems>
    </cacheField>
    <cacheField name="FIRST NAME " numFmtId="0">
      <sharedItems count="119">
        <s v="Aarav"/>
        <s v="Abhishek"/>
        <s v="Adarsh"/>
        <s v="Aditi"/>
        <s v="Aditya"/>
        <s v="Aishwarya"/>
        <s v="Akash"/>
        <s v="Alisha"/>
        <s v="Aman"/>
        <s v="Ananya"/>
        <s v="Aniket"/>
        <s v="Ansh"/>
        <s v="Anushka"/>
        <s v="Arjun"/>
        <s v="Arnav"/>
        <s v="Aryan"/>
        <s v="Ashwin"/>
        <s v="Ayaan"/>
        <s v="Ayush"/>
        <s v="Bhavna"/>
        <s v="Charu"/>
        <s v="Chirag"/>
        <s v="Deepak"/>
        <s v="Dev"/>
        <s v="Dhruv"/>
        <s v="Divya"/>
        <s v="Diya"/>
        <s v="Faizan"/>
        <s v="Farhan"/>
        <s v="Fatima"/>
        <s v="Gaurav"/>
        <s v="Gayatri"/>
        <s v="Harsh"/>
        <s v="Harshit"/>
        <s v="Heena"/>
        <s v="Hemant"/>
        <s v="Imran"/>
        <s v="Isha"/>
        <s v="Ishaan"/>
        <s v="Jessica"/>
        <s v="Juhi"/>
        <s v="Kabir"/>
        <s v="Kartik"/>
        <s v="Kavya"/>
        <s v="Keshav"/>
        <s v="Khushi"/>
        <s v="Komal"/>
        <s v="Krish"/>
        <s v="Kritika"/>
        <s v="Kunal"/>
        <s v="Lakshya"/>
        <s v="Lavanya"/>
        <s v="Lokesh"/>
        <s v="Mahima"/>
        <s v="Manav"/>
        <s v="Mayank"/>
        <s v="Meera"/>
        <s v="Mitali"/>
        <s v="Mohit"/>
        <s v="Monika"/>
        <s v="Muskan"/>
        <s v="Naina"/>
        <s v="Naman"/>
        <s v="Naveen"/>
        <s v="Neha"/>
        <s v="Nikhil"/>
        <s v="Nikita"/>
        <s v="Omkar"/>
        <s v="Palak"/>
        <s v="Parth"/>
        <s v="Payal"/>
        <s v="Piyush"/>
        <s v="Pooja"/>
        <s v="Pranav"/>
        <s v="Pratik"/>
        <s v="Priya"/>
        <s v="Radhika"/>
        <s v="Rahul"/>
        <s v="Rakesh"/>
        <s v="Reema"/>
        <s v="Reyansh"/>
        <s v="Ritesh"/>
        <s v="Ritik"/>
        <s v="Ritika"/>
        <s v="Riya"/>
        <s v="Rohan"/>
        <s v="Roshan"/>
        <s v="Rudra"/>
        <s v="Rupal"/>
        <s v="Sahil"/>
        <s v="Sakshi"/>
        <s v="Saloni"/>
        <s v="Sameer"/>
        <s v="Sana"/>
        <s v="Sanjana"/>
        <s v="Sanya"/>
        <s v="Saurabh"/>
        <s v="Shivam"/>
        <s v="Shreya"/>
        <s v="Siddharth"/>
        <s v="Simran"/>
        <s v="Sneha"/>
        <s v="Tamanna"/>
        <s v="Tania"/>
        <s v="Tanvi"/>
        <s v="Tarun"/>
        <s v="Tejas"/>
        <s v="Trisha"/>
        <s v="Tushar"/>
        <s v="Uday"/>
        <s v="Vaishnavi"/>
        <s v="Varun"/>
        <s v="Vikas"/>
        <s v="Vinayak"/>
        <s v="Vivaan"/>
        <s v="Vivek"/>
        <s v="Yash"/>
        <s v="Zaid"/>
        <s v="Zoya"/>
      </sharedItems>
    </cacheField>
    <cacheField name="LAST NAME " numFmtId="0">
      <sharedItems count="73">
        <s v="Sharma"/>
        <s v="Dubey"/>
        <s v="Yadav"/>
        <s v="Mishra"/>
        <s v="Singh"/>
        <s v="Reddy"/>
        <s v="Fernandes"/>
        <s v="Kapoor"/>
        <s v="Rao"/>
        <s v="Pawar"/>
        <s v="Patel"/>
        <s v="Sethi"/>
        <s v="Verma"/>
        <s v="Deshmukh"/>
        <s v="Pillai"/>
        <s v="Sheikh"/>
        <s v="Pandey"/>
        <s v="Shah"/>
        <s v="Bansal"/>
        <s v="Bedi"/>
        <s v="Chauhan"/>
        <s v="Malhotra"/>
        <s v="Narang"/>
        <s v="Mehta"/>
        <s v="Qureshi"/>
        <s v="Ali"/>
        <s v="Noor"/>
        <s v="Bhatia"/>
        <s v="Patil"/>
        <s v="Agrawal"/>
        <s v="Jain"/>
        <s v="Khan"/>
        <s v="Solanki"/>
        <s v="Dsouza"/>
        <s v="Agarwal"/>
        <s v="Anand"/>
        <s v="Iyer"/>
        <s v="Arora"/>
        <s v="Rawat"/>
        <s v="Choudhary"/>
        <s v="Sinha"/>
        <s v="Nair"/>
        <s v="Ghosh"/>
        <s v="Nanda"/>
        <s v="Chawla"/>
        <s v="Gupta"/>
        <s v="Joshi"/>
        <s v="Tiwari"/>
        <s v="Roy"/>
        <s v="Jadhav"/>
        <s v="Thakur"/>
        <s v="Salvi"/>
        <s v="Desai"/>
        <s v="Sen"/>
        <s v="Suri"/>
        <s v="Kumar"/>
        <s v="Das"/>
        <s v="Kulkarni"/>
        <s v="Mirza"/>
        <s v="Tripathi"/>
        <s v="Tandon"/>
        <s v="Kaur"/>
        <s v="Dutta"/>
        <s v="Bhatt"/>
        <s v="Gill"/>
        <s v="Paul"/>
        <s v="Naik"/>
        <s v="Shetty"/>
        <s v="More"/>
        <s v="Saxena"/>
        <s v="Menon"/>
        <s v="Ansari"/>
        <s v="Siddiqui"/>
      </sharedItems>
    </cacheField>
    <cacheField name="AGE " numFmtId="0">
      <sharedItems containsSemiMixedTypes="0" containsString="0" containsNumber="1" containsInteger="1" minValue="15" maxValue="19" count="5">
        <n v="15"/>
        <n v="19"/>
        <n v="17"/>
        <n v="16"/>
        <n v="18"/>
      </sharedItems>
    </cacheField>
    <cacheField name="STUDY HOURS " numFmtId="0">
      <sharedItems containsSemiMixedTypes="0" containsString="0" containsNumber="1" containsInteger="1" minValue="2" maxValue="30" count="29">
        <n v="25"/>
        <n v="10"/>
        <n v="29"/>
        <n v="3"/>
        <n v="9"/>
        <n v="19"/>
        <n v="17"/>
        <n v="18"/>
        <n v="23"/>
        <n v="22"/>
        <n v="26"/>
        <n v="5"/>
        <n v="15"/>
        <n v="2"/>
        <n v="7"/>
        <n v="30"/>
        <n v="21"/>
        <n v="12"/>
        <n v="8"/>
        <n v="4"/>
        <n v="16"/>
        <n v="6"/>
        <n v="27"/>
        <n v="11"/>
        <n v="28"/>
        <n v="20"/>
        <n v="24"/>
        <n v="13"/>
        <n v="14"/>
      </sharedItems>
    </cacheField>
    <cacheField name="ATTENDANCE %" numFmtId="9">
      <sharedItems containsSemiMixedTypes="0" containsString="0" containsNumber="1" minValue="0.13" maxValue="1"/>
    </cacheField>
    <cacheField name="ENGLISH" numFmtId="0">
      <sharedItems containsSemiMixedTypes="0" containsString="0" containsNumber="1" containsInteger="1" minValue="12" maxValue="94"/>
    </cacheField>
    <cacheField name="MATHS " numFmtId="0">
      <sharedItems containsSemiMixedTypes="0" containsString="0" containsNumber="1" containsInteger="1" minValue="10" maxValue="89"/>
    </cacheField>
    <cacheField name="SCIENCE" numFmtId="0">
      <sharedItems containsSemiMixedTypes="0" containsString="0" containsNumber="1" containsInteger="1" minValue="11" maxValue="95"/>
    </cacheField>
    <cacheField name="HISTORY" numFmtId="0">
      <sharedItems containsSemiMixedTypes="0" containsString="0" containsNumber="1" containsInteger="1" minValue="6" maxValue="91"/>
    </cacheField>
    <cacheField name="HINDI" numFmtId="0">
      <sharedItems containsSemiMixedTypes="0" containsString="0" containsNumber="1" containsInteger="1" minValue="9" maxValue="94"/>
    </cacheField>
    <cacheField name="TOTAL MARKS " numFmtId="0">
      <sharedItems containsSemiMixedTypes="0" containsString="0" containsNumber="1" containsInteger="1" minValue="85" maxValue="393"/>
    </cacheField>
    <cacheField name="PERCENTAGE " numFmtId="9">
      <sharedItems containsSemiMixedTypes="0" containsString="0" containsNumber="1" minValue="0.17" maxValue="0.79"/>
    </cacheField>
    <cacheField name="GRADE " numFmtId="0">
      <sharedItems count="4">
        <s v="D"/>
        <s v="C"/>
        <s v="B"/>
        <s v="F"/>
      </sharedItems>
    </cacheField>
    <cacheField name="REMARK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x v="0"/>
    <x v="0"/>
    <x v="0"/>
    <x v="0"/>
    <x v="0"/>
    <n v="0.64"/>
    <n v="41"/>
    <n v="67"/>
    <n v="38"/>
    <n v="39"/>
    <n v="69"/>
    <n v="254"/>
    <n v="0.51"/>
    <x v="0"/>
    <x v="0"/>
  </r>
  <r>
    <x v="1"/>
    <x v="1"/>
    <x v="1"/>
    <x v="0"/>
    <x v="1"/>
    <n v="0.69"/>
    <n v="73"/>
    <n v="59"/>
    <n v="79"/>
    <n v="45"/>
    <n v="60"/>
    <n v="316"/>
    <n v="0.63"/>
    <x v="1"/>
    <x v="0"/>
  </r>
  <r>
    <x v="2"/>
    <x v="2"/>
    <x v="2"/>
    <x v="0"/>
    <x v="2"/>
    <n v="0.92"/>
    <n v="48"/>
    <n v="78"/>
    <n v="36"/>
    <n v="24"/>
    <n v="61"/>
    <n v="247"/>
    <n v="0.49"/>
    <x v="0"/>
    <x v="0"/>
  </r>
  <r>
    <x v="3"/>
    <x v="3"/>
    <x v="3"/>
    <x v="0"/>
    <x v="0"/>
    <n v="0.74"/>
    <n v="90"/>
    <n v="79"/>
    <n v="45"/>
    <n v="70"/>
    <n v="56"/>
    <n v="340"/>
    <n v="0.68"/>
    <x v="1"/>
    <x v="0"/>
  </r>
  <r>
    <x v="4"/>
    <x v="4"/>
    <x v="4"/>
    <x v="1"/>
    <x v="1"/>
    <n v="0.91"/>
    <n v="73"/>
    <n v="49"/>
    <n v="77"/>
    <n v="63"/>
    <n v="66"/>
    <n v="328"/>
    <n v="0.66"/>
    <x v="1"/>
    <x v="0"/>
  </r>
  <r>
    <x v="5"/>
    <x v="5"/>
    <x v="5"/>
    <x v="2"/>
    <x v="3"/>
    <n v="0.5"/>
    <n v="86"/>
    <n v="38"/>
    <n v="54"/>
    <n v="59"/>
    <n v="53"/>
    <n v="290"/>
    <n v="0.57999999999999996"/>
    <x v="0"/>
    <x v="0"/>
  </r>
  <r>
    <x v="6"/>
    <x v="6"/>
    <x v="2"/>
    <x v="0"/>
    <x v="4"/>
    <n v="0.6"/>
    <n v="84"/>
    <n v="38"/>
    <n v="83"/>
    <n v="46"/>
    <n v="31"/>
    <n v="282"/>
    <n v="0.56000000000000005"/>
    <x v="0"/>
    <x v="0"/>
  </r>
  <r>
    <x v="7"/>
    <x v="7"/>
    <x v="6"/>
    <x v="0"/>
    <x v="5"/>
    <n v="0.63"/>
    <n v="89"/>
    <n v="71"/>
    <n v="66"/>
    <n v="64"/>
    <n v="43"/>
    <n v="333"/>
    <n v="0.67"/>
    <x v="1"/>
    <x v="0"/>
  </r>
  <r>
    <x v="8"/>
    <x v="8"/>
    <x v="7"/>
    <x v="1"/>
    <x v="6"/>
    <n v="0.67"/>
    <n v="71"/>
    <n v="50"/>
    <n v="74"/>
    <n v="54"/>
    <n v="77"/>
    <n v="326"/>
    <n v="0.65"/>
    <x v="1"/>
    <x v="0"/>
  </r>
  <r>
    <x v="9"/>
    <x v="9"/>
    <x v="8"/>
    <x v="3"/>
    <x v="7"/>
    <n v="0.75"/>
    <n v="50"/>
    <n v="69"/>
    <n v="81"/>
    <n v="52"/>
    <n v="93"/>
    <n v="345"/>
    <n v="0.69"/>
    <x v="1"/>
    <x v="0"/>
  </r>
  <r>
    <x v="10"/>
    <x v="10"/>
    <x v="9"/>
    <x v="3"/>
    <x v="4"/>
    <n v="0.51"/>
    <n v="65"/>
    <n v="28"/>
    <n v="95"/>
    <n v="73"/>
    <n v="85"/>
    <n v="346"/>
    <n v="0.69"/>
    <x v="1"/>
    <x v="0"/>
  </r>
  <r>
    <x v="11"/>
    <x v="11"/>
    <x v="10"/>
    <x v="1"/>
    <x v="8"/>
    <n v="0.62"/>
    <n v="89"/>
    <n v="75"/>
    <n v="53"/>
    <n v="52"/>
    <n v="43"/>
    <n v="312"/>
    <n v="0.62"/>
    <x v="1"/>
    <x v="0"/>
  </r>
  <r>
    <x v="12"/>
    <x v="12"/>
    <x v="11"/>
    <x v="2"/>
    <x v="9"/>
    <n v="0.95"/>
    <n v="52"/>
    <n v="79"/>
    <n v="63"/>
    <n v="76"/>
    <n v="41"/>
    <n v="311"/>
    <n v="0.62"/>
    <x v="1"/>
    <x v="0"/>
  </r>
  <r>
    <x v="13"/>
    <x v="13"/>
    <x v="12"/>
    <x v="3"/>
    <x v="10"/>
    <n v="0.67"/>
    <n v="75"/>
    <n v="70"/>
    <n v="82"/>
    <n v="72"/>
    <n v="87"/>
    <n v="386"/>
    <n v="0.77"/>
    <x v="2"/>
    <x v="0"/>
  </r>
  <r>
    <x v="14"/>
    <x v="14"/>
    <x v="13"/>
    <x v="2"/>
    <x v="11"/>
    <n v="0.87"/>
    <n v="91"/>
    <n v="44"/>
    <n v="58"/>
    <n v="51"/>
    <n v="92"/>
    <n v="336"/>
    <n v="0.67"/>
    <x v="1"/>
    <x v="0"/>
  </r>
  <r>
    <x v="15"/>
    <x v="15"/>
    <x v="3"/>
    <x v="2"/>
    <x v="5"/>
    <n v="0.51"/>
    <n v="44"/>
    <n v="51"/>
    <n v="37"/>
    <n v="44"/>
    <n v="88"/>
    <n v="264"/>
    <n v="0.53"/>
    <x v="0"/>
    <x v="0"/>
  </r>
  <r>
    <x v="16"/>
    <x v="16"/>
    <x v="14"/>
    <x v="1"/>
    <x v="12"/>
    <n v="0.65"/>
    <n v="56"/>
    <n v="58"/>
    <n v="81"/>
    <n v="47"/>
    <n v="43"/>
    <n v="285"/>
    <n v="0.56999999999999995"/>
    <x v="0"/>
    <x v="0"/>
  </r>
  <r>
    <x v="17"/>
    <x v="17"/>
    <x v="15"/>
    <x v="2"/>
    <x v="13"/>
    <n v="0.78"/>
    <n v="59"/>
    <n v="42"/>
    <n v="81"/>
    <n v="51"/>
    <n v="89"/>
    <n v="322"/>
    <n v="0.64"/>
    <x v="1"/>
    <x v="0"/>
  </r>
  <r>
    <x v="18"/>
    <x v="18"/>
    <x v="16"/>
    <x v="0"/>
    <x v="14"/>
    <n v="0.69"/>
    <n v="66"/>
    <n v="42"/>
    <n v="46"/>
    <n v="41"/>
    <n v="54"/>
    <n v="249"/>
    <n v="0.5"/>
    <x v="0"/>
    <x v="0"/>
  </r>
  <r>
    <x v="19"/>
    <x v="19"/>
    <x v="17"/>
    <x v="0"/>
    <x v="15"/>
    <n v="0.55000000000000004"/>
    <n v="66"/>
    <n v="78"/>
    <n v="75"/>
    <n v="63"/>
    <n v="59"/>
    <n v="341"/>
    <n v="0.68"/>
    <x v="1"/>
    <x v="0"/>
  </r>
  <r>
    <x v="20"/>
    <x v="20"/>
    <x v="18"/>
    <x v="1"/>
    <x v="10"/>
    <n v="0.75"/>
    <n v="64"/>
    <n v="76"/>
    <n v="91"/>
    <n v="61"/>
    <n v="74"/>
    <n v="366"/>
    <n v="0.73"/>
    <x v="2"/>
    <x v="0"/>
  </r>
  <r>
    <x v="21"/>
    <x v="21"/>
    <x v="19"/>
    <x v="2"/>
    <x v="3"/>
    <n v="0.99"/>
    <n v="92"/>
    <n v="40"/>
    <n v="73"/>
    <n v="68"/>
    <n v="65"/>
    <n v="338"/>
    <n v="0.68"/>
    <x v="1"/>
    <x v="0"/>
  </r>
  <r>
    <x v="22"/>
    <x v="22"/>
    <x v="20"/>
    <x v="3"/>
    <x v="16"/>
    <n v="0.8"/>
    <n v="23"/>
    <n v="27"/>
    <n v="21"/>
    <n v="23"/>
    <n v="22"/>
    <n v="116"/>
    <n v="0.23"/>
    <x v="3"/>
    <x v="1"/>
  </r>
  <r>
    <x v="23"/>
    <x v="23"/>
    <x v="21"/>
    <x v="2"/>
    <x v="10"/>
    <n v="0.78"/>
    <n v="50"/>
    <n v="82"/>
    <n v="38"/>
    <n v="61"/>
    <n v="85"/>
    <n v="316"/>
    <n v="0.63"/>
    <x v="1"/>
    <x v="0"/>
  </r>
  <r>
    <x v="24"/>
    <x v="24"/>
    <x v="18"/>
    <x v="2"/>
    <x v="12"/>
    <n v="0.71"/>
    <n v="81"/>
    <n v="67"/>
    <n v="49"/>
    <n v="57"/>
    <n v="39"/>
    <n v="293"/>
    <n v="0.59"/>
    <x v="0"/>
    <x v="0"/>
  </r>
  <r>
    <x v="25"/>
    <x v="25"/>
    <x v="22"/>
    <x v="2"/>
    <x v="17"/>
    <n v="0.84"/>
    <n v="93"/>
    <n v="55"/>
    <n v="88"/>
    <n v="26"/>
    <n v="40"/>
    <n v="302"/>
    <n v="0.6"/>
    <x v="1"/>
    <x v="0"/>
  </r>
  <r>
    <x v="26"/>
    <x v="26"/>
    <x v="23"/>
    <x v="2"/>
    <x v="18"/>
    <n v="0.84"/>
    <n v="36"/>
    <n v="31"/>
    <n v="39"/>
    <n v="58"/>
    <n v="33"/>
    <n v="197"/>
    <n v="0.39"/>
    <x v="0"/>
    <x v="0"/>
  </r>
  <r>
    <x v="27"/>
    <x v="27"/>
    <x v="24"/>
    <x v="3"/>
    <x v="16"/>
    <n v="0.79"/>
    <n v="66"/>
    <n v="59"/>
    <n v="62"/>
    <n v="46"/>
    <n v="67"/>
    <n v="300"/>
    <n v="0.6"/>
    <x v="1"/>
    <x v="0"/>
  </r>
  <r>
    <x v="28"/>
    <x v="28"/>
    <x v="25"/>
    <x v="4"/>
    <x v="15"/>
    <n v="0.79"/>
    <n v="30"/>
    <n v="75"/>
    <n v="35"/>
    <n v="33"/>
    <n v="71"/>
    <n v="244"/>
    <n v="0.49"/>
    <x v="0"/>
    <x v="0"/>
  </r>
  <r>
    <x v="29"/>
    <x v="29"/>
    <x v="26"/>
    <x v="4"/>
    <x v="19"/>
    <n v="0.8"/>
    <n v="23"/>
    <n v="13"/>
    <n v="11"/>
    <n v="43"/>
    <n v="46"/>
    <n v="136"/>
    <n v="0.27"/>
    <x v="3"/>
    <x v="1"/>
  </r>
  <r>
    <x v="30"/>
    <x v="30"/>
    <x v="27"/>
    <x v="2"/>
    <x v="4"/>
    <n v="0.83"/>
    <n v="55"/>
    <n v="34"/>
    <n v="40"/>
    <n v="62"/>
    <n v="92"/>
    <n v="283"/>
    <n v="0.56999999999999995"/>
    <x v="0"/>
    <x v="0"/>
  </r>
  <r>
    <x v="31"/>
    <x v="31"/>
    <x v="28"/>
    <x v="2"/>
    <x v="20"/>
    <n v="0.94"/>
    <n v="60"/>
    <n v="71"/>
    <n v="32"/>
    <n v="72"/>
    <n v="72"/>
    <n v="307"/>
    <n v="0.61"/>
    <x v="1"/>
    <x v="0"/>
  </r>
  <r>
    <x v="32"/>
    <x v="32"/>
    <x v="29"/>
    <x v="4"/>
    <x v="4"/>
    <n v="0.94"/>
    <n v="36"/>
    <n v="53"/>
    <n v="69"/>
    <n v="27"/>
    <n v="32"/>
    <n v="217"/>
    <n v="0.43"/>
    <x v="0"/>
    <x v="0"/>
  </r>
  <r>
    <x v="33"/>
    <x v="33"/>
    <x v="30"/>
    <x v="4"/>
    <x v="1"/>
    <n v="0.83"/>
    <n v="39"/>
    <n v="46"/>
    <n v="84"/>
    <n v="72"/>
    <n v="87"/>
    <n v="328"/>
    <n v="0.66"/>
    <x v="1"/>
    <x v="0"/>
  </r>
  <r>
    <x v="34"/>
    <x v="34"/>
    <x v="31"/>
    <x v="3"/>
    <x v="1"/>
    <n v="0.91"/>
    <n v="69"/>
    <n v="60"/>
    <n v="36"/>
    <n v="36"/>
    <n v="68"/>
    <n v="269"/>
    <n v="0.54"/>
    <x v="0"/>
    <x v="0"/>
  </r>
  <r>
    <x v="35"/>
    <x v="35"/>
    <x v="32"/>
    <x v="3"/>
    <x v="21"/>
    <n v="0.74"/>
    <n v="62"/>
    <n v="52"/>
    <n v="74"/>
    <n v="61"/>
    <n v="31"/>
    <n v="280"/>
    <n v="0.56000000000000005"/>
    <x v="0"/>
    <x v="0"/>
  </r>
  <r>
    <x v="36"/>
    <x v="36"/>
    <x v="15"/>
    <x v="2"/>
    <x v="12"/>
    <n v="0.54"/>
    <n v="68"/>
    <n v="53"/>
    <n v="69"/>
    <n v="71"/>
    <n v="92"/>
    <n v="353"/>
    <n v="0.71"/>
    <x v="2"/>
    <x v="0"/>
  </r>
  <r>
    <x v="37"/>
    <x v="37"/>
    <x v="7"/>
    <x v="1"/>
    <x v="1"/>
    <n v="0.56999999999999995"/>
    <n v="77"/>
    <n v="41"/>
    <n v="39"/>
    <n v="22"/>
    <n v="50"/>
    <n v="229"/>
    <n v="0.46"/>
    <x v="0"/>
    <x v="0"/>
  </r>
  <r>
    <x v="38"/>
    <x v="38"/>
    <x v="7"/>
    <x v="4"/>
    <x v="1"/>
    <n v="0.73"/>
    <n v="75"/>
    <n v="42"/>
    <n v="56"/>
    <n v="74"/>
    <n v="49"/>
    <n v="296"/>
    <n v="0.59"/>
    <x v="0"/>
    <x v="0"/>
  </r>
  <r>
    <x v="39"/>
    <x v="39"/>
    <x v="33"/>
    <x v="4"/>
    <x v="16"/>
    <n v="0.91"/>
    <n v="50"/>
    <n v="76"/>
    <n v="44"/>
    <n v="31"/>
    <n v="73"/>
    <n v="274"/>
    <n v="0.55000000000000004"/>
    <x v="0"/>
    <x v="0"/>
  </r>
  <r>
    <x v="40"/>
    <x v="40"/>
    <x v="34"/>
    <x v="1"/>
    <x v="22"/>
    <n v="0.96"/>
    <n v="64"/>
    <n v="77"/>
    <n v="45"/>
    <n v="39"/>
    <n v="51"/>
    <n v="276"/>
    <n v="0.55000000000000004"/>
    <x v="0"/>
    <x v="0"/>
  </r>
  <r>
    <x v="41"/>
    <x v="41"/>
    <x v="35"/>
    <x v="4"/>
    <x v="5"/>
    <n v="0.56999999999999995"/>
    <n v="12"/>
    <n v="34"/>
    <n v="25"/>
    <n v="28"/>
    <n v="19"/>
    <n v="118"/>
    <n v="0.24"/>
    <x v="3"/>
    <x v="1"/>
  </r>
  <r>
    <x v="42"/>
    <x v="42"/>
    <x v="0"/>
    <x v="4"/>
    <x v="2"/>
    <n v="0.52"/>
    <n v="88"/>
    <n v="72"/>
    <n v="69"/>
    <n v="61"/>
    <n v="78"/>
    <n v="368"/>
    <n v="0.74"/>
    <x v="2"/>
    <x v="0"/>
  </r>
  <r>
    <x v="43"/>
    <x v="43"/>
    <x v="36"/>
    <x v="1"/>
    <x v="19"/>
    <n v="0.69"/>
    <n v="21"/>
    <n v="28"/>
    <n v="38"/>
    <n v="51"/>
    <n v="10"/>
    <n v="148"/>
    <n v="0.3"/>
    <x v="3"/>
    <x v="1"/>
  </r>
  <r>
    <x v="44"/>
    <x v="44"/>
    <x v="23"/>
    <x v="1"/>
    <x v="23"/>
    <n v="0.82"/>
    <n v="68"/>
    <n v="45"/>
    <n v="71"/>
    <n v="52"/>
    <n v="57"/>
    <n v="293"/>
    <n v="0.59"/>
    <x v="0"/>
    <x v="0"/>
  </r>
  <r>
    <x v="45"/>
    <x v="45"/>
    <x v="10"/>
    <x v="1"/>
    <x v="13"/>
    <n v="0.56000000000000005"/>
    <n v="48"/>
    <n v="27"/>
    <n v="40"/>
    <n v="47"/>
    <n v="64"/>
    <n v="226"/>
    <n v="0.45"/>
    <x v="0"/>
    <x v="0"/>
  </r>
  <r>
    <x v="46"/>
    <x v="46"/>
    <x v="2"/>
    <x v="3"/>
    <x v="22"/>
    <n v="0.6"/>
    <n v="90"/>
    <n v="80"/>
    <n v="79"/>
    <n v="41"/>
    <n v="61"/>
    <n v="351"/>
    <n v="0.7"/>
    <x v="2"/>
    <x v="0"/>
  </r>
  <r>
    <x v="47"/>
    <x v="47"/>
    <x v="23"/>
    <x v="1"/>
    <x v="18"/>
    <n v="0.85"/>
    <n v="40"/>
    <n v="37"/>
    <n v="57"/>
    <n v="56"/>
    <n v="68"/>
    <n v="258"/>
    <n v="0.52"/>
    <x v="0"/>
    <x v="0"/>
  </r>
  <r>
    <x v="48"/>
    <x v="48"/>
    <x v="0"/>
    <x v="0"/>
    <x v="1"/>
    <n v="0.94"/>
    <n v="73"/>
    <n v="42"/>
    <n v="74"/>
    <n v="60"/>
    <n v="51"/>
    <n v="300"/>
    <n v="0.6"/>
    <x v="1"/>
    <x v="0"/>
  </r>
  <r>
    <x v="49"/>
    <x v="49"/>
    <x v="17"/>
    <x v="0"/>
    <x v="2"/>
    <n v="0.67"/>
    <n v="92"/>
    <n v="72"/>
    <n v="38"/>
    <n v="34"/>
    <n v="93"/>
    <n v="329"/>
    <n v="0.66"/>
    <x v="1"/>
    <x v="0"/>
  </r>
  <r>
    <x v="50"/>
    <x v="50"/>
    <x v="37"/>
    <x v="2"/>
    <x v="10"/>
    <n v="0.98"/>
    <n v="90"/>
    <n v="71"/>
    <n v="84"/>
    <n v="62"/>
    <n v="47"/>
    <n v="354"/>
    <n v="0.71"/>
    <x v="2"/>
    <x v="0"/>
  </r>
  <r>
    <x v="51"/>
    <x v="51"/>
    <x v="36"/>
    <x v="1"/>
    <x v="24"/>
    <n v="0.99"/>
    <n v="36"/>
    <n v="70"/>
    <n v="44"/>
    <n v="45"/>
    <n v="37"/>
    <n v="232"/>
    <n v="0.46"/>
    <x v="0"/>
    <x v="0"/>
  </r>
  <r>
    <x v="52"/>
    <x v="52"/>
    <x v="12"/>
    <x v="0"/>
    <x v="24"/>
    <n v="0.53"/>
    <n v="49"/>
    <n v="56"/>
    <n v="61"/>
    <n v="91"/>
    <n v="91"/>
    <n v="348"/>
    <n v="0.7"/>
    <x v="2"/>
    <x v="0"/>
  </r>
  <r>
    <x v="53"/>
    <x v="53"/>
    <x v="38"/>
    <x v="2"/>
    <x v="14"/>
    <n v="1"/>
    <n v="90"/>
    <n v="54"/>
    <n v="55"/>
    <n v="61"/>
    <n v="84"/>
    <n v="344"/>
    <n v="0.69"/>
    <x v="1"/>
    <x v="0"/>
  </r>
  <r>
    <x v="54"/>
    <x v="54"/>
    <x v="39"/>
    <x v="1"/>
    <x v="25"/>
    <n v="0.74"/>
    <n v="42"/>
    <n v="48"/>
    <n v="73"/>
    <n v="65"/>
    <n v="75"/>
    <n v="303"/>
    <n v="0.61"/>
    <x v="1"/>
    <x v="0"/>
  </r>
  <r>
    <x v="55"/>
    <x v="55"/>
    <x v="40"/>
    <x v="0"/>
    <x v="3"/>
    <n v="0.66"/>
    <n v="77"/>
    <n v="37"/>
    <n v="68"/>
    <n v="56"/>
    <n v="85"/>
    <n v="323"/>
    <n v="0.65"/>
    <x v="1"/>
    <x v="0"/>
  </r>
  <r>
    <x v="56"/>
    <x v="56"/>
    <x v="41"/>
    <x v="2"/>
    <x v="7"/>
    <n v="0.94"/>
    <n v="69"/>
    <n v="65"/>
    <n v="75"/>
    <n v="75"/>
    <n v="69"/>
    <n v="353"/>
    <n v="0.71"/>
    <x v="2"/>
    <x v="0"/>
  </r>
  <r>
    <x v="57"/>
    <x v="57"/>
    <x v="42"/>
    <x v="4"/>
    <x v="1"/>
    <n v="0.88"/>
    <n v="65"/>
    <n v="53"/>
    <n v="30"/>
    <n v="58"/>
    <n v="70"/>
    <n v="276"/>
    <n v="0.55000000000000004"/>
    <x v="0"/>
    <x v="0"/>
  </r>
  <r>
    <x v="58"/>
    <x v="58"/>
    <x v="40"/>
    <x v="3"/>
    <x v="18"/>
    <n v="0.65"/>
    <n v="37"/>
    <n v="24"/>
    <n v="35"/>
    <n v="61"/>
    <n v="88"/>
    <n v="245"/>
    <n v="0.49"/>
    <x v="0"/>
    <x v="0"/>
  </r>
  <r>
    <x v="59"/>
    <x v="59"/>
    <x v="43"/>
    <x v="1"/>
    <x v="13"/>
    <n v="0.76"/>
    <n v="32"/>
    <n v="22"/>
    <n v="25"/>
    <n v="36"/>
    <n v="26"/>
    <n v="141"/>
    <n v="0.28000000000000003"/>
    <x v="3"/>
    <x v="1"/>
  </r>
  <r>
    <x v="60"/>
    <x v="60"/>
    <x v="37"/>
    <x v="2"/>
    <x v="18"/>
    <n v="0.84"/>
    <n v="80"/>
    <n v="42"/>
    <n v="69"/>
    <n v="68"/>
    <n v="57"/>
    <n v="316"/>
    <n v="0.63"/>
    <x v="1"/>
    <x v="0"/>
  </r>
  <r>
    <x v="61"/>
    <x v="61"/>
    <x v="44"/>
    <x v="3"/>
    <x v="9"/>
    <n v="0.84"/>
    <n v="52"/>
    <n v="78"/>
    <n v="40"/>
    <n v="56"/>
    <n v="77"/>
    <n v="303"/>
    <n v="0.61"/>
    <x v="1"/>
    <x v="0"/>
  </r>
  <r>
    <x v="62"/>
    <x v="62"/>
    <x v="45"/>
    <x v="4"/>
    <x v="8"/>
    <n v="0.9"/>
    <n v="46"/>
    <n v="71"/>
    <n v="43"/>
    <n v="52"/>
    <n v="67"/>
    <n v="279"/>
    <n v="0.56000000000000005"/>
    <x v="0"/>
    <x v="0"/>
  </r>
  <r>
    <x v="63"/>
    <x v="63"/>
    <x v="5"/>
    <x v="2"/>
    <x v="25"/>
    <n v="0.84"/>
    <n v="39"/>
    <n v="65"/>
    <n v="38"/>
    <n v="36"/>
    <n v="34"/>
    <n v="212"/>
    <n v="0.42"/>
    <x v="0"/>
    <x v="0"/>
  </r>
  <r>
    <x v="64"/>
    <x v="64"/>
    <x v="46"/>
    <x v="2"/>
    <x v="15"/>
    <n v="0.99"/>
    <n v="60"/>
    <n v="89"/>
    <n v="40"/>
    <n v="29"/>
    <n v="56"/>
    <n v="274"/>
    <n v="0.55000000000000004"/>
    <x v="0"/>
    <x v="0"/>
  </r>
  <r>
    <x v="65"/>
    <x v="65"/>
    <x v="47"/>
    <x v="0"/>
    <x v="10"/>
    <n v="0.92"/>
    <n v="91"/>
    <n v="75"/>
    <n v="47"/>
    <n v="65"/>
    <n v="94"/>
    <n v="372"/>
    <n v="0.74"/>
    <x v="2"/>
    <x v="0"/>
  </r>
  <r>
    <x v="66"/>
    <x v="66"/>
    <x v="48"/>
    <x v="4"/>
    <x v="24"/>
    <n v="0.77"/>
    <n v="43"/>
    <n v="62"/>
    <n v="70"/>
    <n v="65"/>
    <n v="47"/>
    <n v="287"/>
    <n v="0.56999999999999995"/>
    <x v="0"/>
    <x v="0"/>
  </r>
  <r>
    <x v="67"/>
    <x v="67"/>
    <x v="49"/>
    <x v="2"/>
    <x v="9"/>
    <n v="0.76"/>
    <n v="44"/>
    <n v="57"/>
    <n v="54"/>
    <n v="37"/>
    <n v="93"/>
    <n v="285"/>
    <n v="0.56999999999999995"/>
    <x v="0"/>
    <x v="0"/>
  </r>
  <r>
    <x v="68"/>
    <x v="68"/>
    <x v="4"/>
    <x v="0"/>
    <x v="26"/>
    <n v="0.89"/>
    <n v="23"/>
    <n v="33"/>
    <n v="14"/>
    <n v="6"/>
    <n v="44"/>
    <n v="120"/>
    <n v="0.24"/>
    <x v="3"/>
    <x v="1"/>
  </r>
  <r>
    <x v="69"/>
    <x v="69"/>
    <x v="46"/>
    <x v="4"/>
    <x v="13"/>
    <n v="0.59"/>
    <n v="64"/>
    <n v="23"/>
    <n v="40"/>
    <n v="66"/>
    <n v="79"/>
    <n v="272"/>
    <n v="0.54"/>
    <x v="0"/>
    <x v="0"/>
  </r>
  <r>
    <x v="70"/>
    <x v="70"/>
    <x v="50"/>
    <x v="2"/>
    <x v="4"/>
    <n v="0.64"/>
    <n v="49"/>
    <n v="34"/>
    <n v="94"/>
    <n v="80"/>
    <n v="51"/>
    <n v="308"/>
    <n v="0.62"/>
    <x v="1"/>
    <x v="0"/>
  </r>
  <r>
    <x v="71"/>
    <x v="71"/>
    <x v="4"/>
    <x v="0"/>
    <x v="25"/>
    <n v="0.68"/>
    <n v="71"/>
    <n v="72"/>
    <n v="90"/>
    <n v="77"/>
    <n v="55"/>
    <n v="365"/>
    <n v="0.73"/>
    <x v="2"/>
    <x v="0"/>
  </r>
  <r>
    <x v="72"/>
    <x v="72"/>
    <x v="12"/>
    <x v="3"/>
    <x v="27"/>
    <n v="0.88"/>
    <n v="92"/>
    <n v="49"/>
    <n v="84"/>
    <n v="75"/>
    <n v="64"/>
    <n v="364"/>
    <n v="0.73"/>
    <x v="2"/>
    <x v="0"/>
  </r>
  <r>
    <x v="73"/>
    <x v="73"/>
    <x v="36"/>
    <x v="2"/>
    <x v="10"/>
    <n v="0.7"/>
    <n v="58"/>
    <n v="64"/>
    <n v="47"/>
    <n v="65"/>
    <n v="43"/>
    <n v="277"/>
    <n v="0.55000000000000004"/>
    <x v="0"/>
    <x v="0"/>
  </r>
  <r>
    <x v="74"/>
    <x v="74"/>
    <x v="51"/>
    <x v="4"/>
    <x v="26"/>
    <n v="0.8"/>
    <n v="66"/>
    <n v="80"/>
    <n v="50"/>
    <n v="28"/>
    <n v="57"/>
    <n v="281"/>
    <n v="0.56000000000000005"/>
    <x v="0"/>
    <x v="0"/>
  </r>
  <r>
    <x v="75"/>
    <x v="75"/>
    <x v="52"/>
    <x v="3"/>
    <x v="1"/>
    <n v="0.56999999999999995"/>
    <n v="12"/>
    <n v="42"/>
    <n v="23"/>
    <n v="45"/>
    <n v="13"/>
    <n v="135"/>
    <n v="0.27"/>
    <x v="3"/>
    <x v="1"/>
  </r>
  <r>
    <x v="76"/>
    <x v="76"/>
    <x v="53"/>
    <x v="3"/>
    <x v="8"/>
    <n v="0.54"/>
    <n v="60"/>
    <n v="68"/>
    <n v="58"/>
    <n v="63"/>
    <n v="94"/>
    <n v="343"/>
    <n v="0.69"/>
    <x v="1"/>
    <x v="0"/>
  </r>
  <r>
    <x v="77"/>
    <x v="77"/>
    <x v="28"/>
    <x v="1"/>
    <x v="5"/>
    <n v="0.62"/>
    <n v="13"/>
    <n v="14"/>
    <n v="22"/>
    <n v="27"/>
    <n v="9"/>
    <n v="85"/>
    <n v="0.17"/>
    <x v="3"/>
    <x v="1"/>
  </r>
  <r>
    <x v="78"/>
    <x v="78"/>
    <x v="12"/>
    <x v="3"/>
    <x v="0"/>
    <n v="0.55000000000000004"/>
    <n v="51"/>
    <n v="71"/>
    <n v="52"/>
    <n v="32"/>
    <n v="88"/>
    <n v="294"/>
    <n v="0.59"/>
    <x v="0"/>
    <x v="0"/>
  </r>
  <r>
    <x v="79"/>
    <x v="79"/>
    <x v="54"/>
    <x v="1"/>
    <x v="3"/>
    <n v="0.73"/>
    <n v="44"/>
    <n v="44"/>
    <n v="94"/>
    <n v="71"/>
    <n v="38"/>
    <n v="291"/>
    <n v="0.57999999999999996"/>
    <x v="0"/>
    <x v="0"/>
  </r>
  <r>
    <x v="80"/>
    <x v="80"/>
    <x v="45"/>
    <x v="0"/>
    <x v="0"/>
    <n v="0.73"/>
    <n v="67"/>
    <n v="77"/>
    <n v="77"/>
    <n v="51"/>
    <n v="45"/>
    <n v="317"/>
    <n v="0.63"/>
    <x v="1"/>
    <x v="0"/>
  </r>
  <r>
    <x v="81"/>
    <x v="81"/>
    <x v="55"/>
    <x v="1"/>
    <x v="23"/>
    <n v="0.74"/>
    <n v="36"/>
    <n v="38"/>
    <n v="83"/>
    <n v="42"/>
    <n v="69"/>
    <n v="268"/>
    <n v="0.54"/>
    <x v="0"/>
    <x v="0"/>
  </r>
  <r>
    <x v="82"/>
    <x v="82"/>
    <x v="0"/>
    <x v="1"/>
    <x v="28"/>
    <n v="0.62"/>
    <n v="90"/>
    <n v="64"/>
    <n v="62"/>
    <n v="44"/>
    <n v="89"/>
    <n v="349"/>
    <n v="0.7"/>
    <x v="2"/>
    <x v="0"/>
  </r>
  <r>
    <x v="83"/>
    <x v="83"/>
    <x v="56"/>
    <x v="3"/>
    <x v="26"/>
    <n v="0.61"/>
    <n v="89"/>
    <n v="70"/>
    <n v="32"/>
    <n v="67"/>
    <n v="59"/>
    <n v="317"/>
    <n v="0.63"/>
    <x v="1"/>
    <x v="0"/>
  </r>
  <r>
    <x v="84"/>
    <x v="84"/>
    <x v="0"/>
    <x v="0"/>
    <x v="0"/>
    <n v="0.94"/>
    <n v="68"/>
    <n v="84"/>
    <n v="87"/>
    <n v="75"/>
    <n v="56"/>
    <n v="370"/>
    <n v="0.74"/>
    <x v="2"/>
    <x v="0"/>
  </r>
  <r>
    <x v="85"/>
    <x v="85"/>
    <x v="57"/>
    <x v="3"/>
    <x v="7"/>
    <n v="0.71"/>
    <n v="40"/>
    <n v="60"/>
    <n v="94"/>
    <n v="56"/>
    <n v="70"/>
    <n v="320"/>
    <n v="0.64"/>
    <x v="1"/>
    <x v="0"/>
  </r>
  <r>
    <x v="86"/>
    <x v="85"/>
    <x v="41"/>
    <x v="0"/>
    <x v="16"/>
    <n v="0.82"/>
    <n v="89"/>
    <n v="70"/>
    <n v="48"/>
    <n v="43"/>
    <n v="56"/>
    <n v="306"/>
    <n v="0.61"/>
    <x v="1"/>
    <x v="0"/>
  </r>
  <r>
    <x v="87"/>
    <x v="86"/>
    <x v="41"/>
    <x v="3"/>
    <x v="9"/>
    <n v="0.6"/>
    <n v="35"/>
    <n v="51"/>
    <n v="58"/>
    <n v="62"/>
    <n v="81"/>
    <n v="287"/>
    <n v="0.56999999999999995"/>
    <x v="0"/>
    <x v="0"/>
  </r>
  <r>
    <x v="88"/>
    <x v="87"/>
    <x v="46"/>
    <x v="3"/>
    <x v="6"/>
    <n v="0.97"/>
    <n v="91"/>
    <n v="72"/>
    <n v="52"/>
    <n v="44"/>
    <n v="62"/>
    <n v="321"/>
    <n v="0.64"/>
    <x v="1"/>
    <x v="0"/>
  </r>
  <r>
    <x v="89"/>
    <x v="88"/>
    <x v="17"/>
    <x v="3"/>
    <x v="23"/>
    <n v="0.83"/>
    <n v="84"/>
    <n v="66"/>
    <n v="70"/>
    <n v="68"/>
    <n v="71"/>
    <n v="359"/>
    <n v="0.72"/>
    <x v="2"/>
    <x v="0"/>
  </r>
  <r>
    <x v="90"/>
    <x v="89"/>
    <x v="31"/>
    <x v="0"/>
    <x v="6"/>
    <n v="0.89"/>
    <n v="40"/>
    <n v="55"/>
    <n v="82"/>
    <n v="79"/>
    <n v="30"/>
    <n v="286"/>
    <n v="0.56999999999999995"/>
    <x v="0"/>
    <x v="0"/>
  </r>
  <r>
    <x v="91"/>
    <x v="90"/>
    <x v="30"/>
    <x v="4"/>
    <x v="17"/>
    <n v="0.97"/>
    <n v="42"/>
    <n v="42"/>
    <n v="74"/>
    <n v="55"/>
    <n v="70"/>
    <n v="283"/>
    <n v="0.56999999999999995"/>
    <x v="0"/>
    <x v="0"/>
  </r>
  <r>
    <x v="92"/>
    <x v="91"/>
    <x v="45"/>
    <x v="2"/>
    <x v="14"/>
    <n v="0.74"/>
    <n v="65"/>
    <n v="49"/>
    <n v="76"/>
    <n v="64"/>
    <n v="82"/>
    <n v="336"/>
    <n v="0.67"/>
    <x v="1"/>
    <x v="0"/>
  </r>
  <r>
    <x v="93"/>
    <x v="92"/>
    <x v="31"/>
    <x v="1"/>
    <x v="1"/>
    <n v="0.52"/>
    <n v="70"/>
    <n v="42"/>
    <n v="46"/>
    <n v="38"/>
    <n v="78"/>
    <n v="274"/>
    <n v="0.55000000000000004"/>
    <x v="0"/>
    <x v="0"/>
  </r>
  <r>
    <x v="94"/>
    <x v="93"/>
    <x v="58"/>
    <x v="4"/>
    <x v="11"/>
    <n v="0.73"/>
    <n v="94"/>
    <n v="50"/>
    <n v="43"/>
    <n v="66"/>
    <n v="44"/>
    <n v="297"/>
    <n v="0.59"/>
    <x v="0"/>
    <x v="0"/>
  </r>
  <r>
    <x v="95"/>
    <x v="94"/>
    <x v="45"/>
    <x v="1"/>
    <x v="16"/>
    <n v="0.83"/>
    <n v="57"/>
    <n v="68"/>
    <n v="40"/>
    <n v="74"/>
    <n v="49"/>
    <n v="288"/>
    <n v="0.57999999999999996"/>
    <x v="0"/>
    <x v="0"/>
  </r>
  <r>
    <x v="96"/>
    <x v="95"/>
    <x v="7"/>
    <x v="3"/>
    <x v="18"/>
    <n v="0.56999999999999995"/>
    <n v="51"/>
    <n v="32"/>
    <n v="39"/>
    <n v="71"/>
    <n v="89"/>
    <n v="282"/>
    <n v="0.56000000000000005"/>
    <x v="0"/>
    <x v="0"/>
  </r>
  <r>
    <x v="97"/>
    <x v="96"/>
    <x v="59"/>
    <x v="4"/>
    <x v="25"/>
    <n v="0.78"/>
    <n v="47"/>
    <n v="61"/>
    <n v="36"/>
    <n v="56"/>
    <n v="52"/>
    <n v="252"/>
    <n v="0.5"/>
    <x v="0"/>
    <x v="0"/>
  </r>
  <r>
    <x v="98"/>
    <x v="97"/>
    <x v="60"/>
    <x v="2"/>
    <x v="22"/>
    <n v="0.75"/>
    <n v="92"/>
    <n v="70"/>
    <n v="91"/>
    <n v="57"/>
    <n v="83"/>
    <n v="393"/>
    <n v="0.79"/>
    <x v="2"/>
    <x v="0"/>
  </r>
  <r>
    <x v="99"/>
    <x v="98"/>
    <x v="14"/>
    <x v="4"/>
    <x v="12"/>
    <n v="0.94"/>
    <n v="93"/>
    <n v="66"/>
    <n v="47"/>
    <n v="20"/>
    <n v="85"/>
    <n v="311"/>
    <n v="0.62"/>
    <x v="1"/>
    <x v="0"/>
  </r>
  <r>
    <x v="100"/>
    <x v="99"/>
    <x v="30"/>
    <x v="1"/>
    <x v="4"/>
    <n v="0.84"/>
    <n v="70"/>
    <n v="49"/>
    <n v="75"/>
    <n v="57"/>
    <n v="81"/>
    <n v="332"/>
    <n v="0.66"/>
    <x v="1"/>
    <x v="0"/>
  </r>
  <r>
    <x v="101"/>
    <x v="100"/>
    <x v="61"/>
    <x v="4"/>
    <x v="15"/>
    <n v="0.76"/>
    <n v="28"/>
    <n v="10"/>
    <n v="22"/>
    <n v="14"/>
    <n v="57"/>
    <n v="131"/>
    <n v="0.26"/>
    <x v="3"/>
    <x v="1"/>
  </r>
  <r>
    <x v="102"/>
    <x v="101"/>
    <x v="57"/>
    <x v="1"/>
    <x v="10"/>
    <n v="0.63"/>
    <n v="85"/>
    <n v="64"/>
    <n v="67"/>
    <n v="68"/>
    <n v="89"/>
    <n v="373"/>
    <n v="0.75"/>
    <x v="2"/>
    <x v="0"/>
  </r>
  <r>
    <x v="103"/>
    <x v="102"/>
    <x v="7"/>
    <x v="2"/>
    <x v="19"/>
    <n v="0.75"/>
    <n v="92"/>
    <n v="34"/>
    <n v="65"/>
    <n v="52"/>
    <n v="43"/>
    <n v="286"/>
    <n v="0.56999999999999995"/>
    <x v="0"/>
    <x v="0"/>
  </r>
  <r>
    <x v="104"/>
    <x v="103"/>
    <x v="62"/>
    <x v="0"/>
    <x v="23"/>
    <n v="0.68"/>
    <n v="61"/>
    <n v="55"/>
    <n v="77"/>
    <n v="48"/>
    <n v="30"/>
    <n v="271"/>
    <n v="0.54"/>
    <x v="0"/>
    <x v="0"/>
  </r>
  <r>
    <x v="105"/>
    <x v="104"/>
    <x v="63"/>
    <x v="3"/>
    <x v="28"/>
    <n v="0.56000000000000005"/>
    <n v="40"/>
    <n v="43"/>
    <n v="41"/>
    <n v="38"/>
    <n v="93"/>
    <n v="255"/>
    <n v="0.51"/>
    <x v="0"/>
    <x v="0"/>
  </r>
  <r>
    <x v="106"/>
    <x v="105"/>
    <x v="64"/>
    <x v="2"/>
    <x v="8"/>
    <n v="0.54"/>
    <n v="20"/>
    <n v="35"/>
    <n v="25"/>
    <n v="16"/>
    <n v="31"/>
    <n v="127"/>
    <n v="0.25"/>
    <x v="3"/>
    <x v="1"/>
  </r>
  <r>
    <x v="107"/>
    <x v="106"/>
    <x v="57"/>
    <x v="3"/>
    <x v="24"/>
    <n v="0.71"/>
    <n v="91"/>
    <n v="66"/>
    <n v="35"/>
    <n v="42"/>
    <n v="55"/>
    <n v="289"/>
    <n v="0.57999999999999996"/>
    <x v="0"/>
    <x v="0"/>
  </r>
  <r>
    <x v="108"/>
    <x v="107"/>
    <x v="65"/>
    <x v="4"/>
    <x v="9"/>
    <n v="0.86"/>
    <n v="67"/>
    <n v="64"/>
    <n v="69"/>
    <n v="81"/>
    <n v="87"/>
    <n v="368"/>
    <n v="0.74"/>
    <x v="2"/>
    <x v="0"/>
  </r>
  <r>
    <x v="109"/>
    <x v="108"/>
    <x v="66"/>
    <x v="0"/>
    <x v="24"/>
    <n v="0.6"/>
    <n v="68"/>
    <n v="58"/>
    <n v="68"/>
    <n v="50"/>
    <n v="50"/>
    <n v="294"/>
    <n v="0.59"/>
    <x v="0"/>
    <x v="0"/>
  </r>
  <r>
    <x v="110"/>
    <x v="109"/>
    <x v="67"/>
    <x v="4"/>
    <x v="19"/>
    <n v="0.84"/>
    <n v="44"/>
    <n v="42"/>
    <n v="69"/>
    <n v="70"/>
    <n v="70"/>
    <n v="295"/>
    <n v="0.59"/>
    <x v="0"/>
    <x v="0"/>
  </r>
  <r>
    <x v="111"/>
    <x v="110"/>
    <x v="68"/>
    <x v="2"/>
    <x v="26"/>
    <n v="0.73"/>
    <n v="45"/>
    <n v="74"/>
    <n v="46"/>
    <n v="56"/>
    <n v="57"/>
    <n v="278"/>
    <n v="0.56000000000000005"/>
    <x v="0"/>
    <x v="0"/>
  </r>
  <r>
    <x v="112"/>
    <x v="111"/>
    <x v="69"/>
    <x v="1"/>
    <x v="2"/>
    <n v="0.77"/>
    <n v="38"/>
    <n v="78"/>
    <n v="83"/>
    <n v="44"/>
    <n v="81"/>
    <n v="324"/>
    <n v="0.65"/>
    <x v="1"/>
    <x v="0"/>
  </r>
  <r>
    <x v="113"/>
    <x v="112"/>
    <x v="20"/>
    <x v="2"/>
    <x v="9"/>
    <n v="0.86"/>
    <n v="60"/>
    <n v="75"/>
    <n v="37"/>
    <n v="67"/>
    <n v="37"/>
    <n v="276"/>
    <n v="0.55000000000000004"/>
    <x v="0"/>
    <x v="0"/>
  </r>
  <r>
    <x v="114"/>
    <x v="113"/>
    <x v="46"/>
    <x v="0"/>
    <x v="4"/>
    <n v="0.56000000000000005"/>
    <n v="87"/>
    <n v="46"/>
    <n v="83"/>
    <n v="56"/>
    <n v="73"/>
    <n v="345"/>
    <n v="0.69"/>
    <x v="1"/>
    <x v="0"/>
  </r>
  <r>
    <x v="115"/>
    <x v="114"/>
    <x v="10"/>
    <x v="0"/>
    <x v="13"/>
    <n v="0.55000000000000004"/>
    <n v="83"/>
    <n v="28"/>
    <n v="68"/>
    <n v="67"/>
    <n v="84"/>
    <n v="330"/>
    <n v="0.66"/>
    <x v="1"/>
    <x v="0"/>
  </r>
  <r>
    <x v="116"/>
    <x v="115"/>
    <x v="70"/>
    <x v="4"/>
    <x v="13"/>
    <n v="0.69"/>
    <n v="46"/>
    <n v="37"/>
    <n v="69"/>
    <n v="49"/>
    <n v="70"/>
    <n v="271"/>
    <n v="0.54"/>
    <x v="0"/>
    <x v="0"/>
  </r>
  <r>
    <x v="117"/>
    <x v="115"/>
    <x v="0"/>
    <x v="4"/>
    <x v="11"/>
    <n v="0.13"/>
    <n v="17"/>
    <n v="24"/>
    <n v="31"/>
    <n v="38"/>
    <n v="12"/>
    <n v="122"/>
    <n v="0.24"/>
    <x v="3"/>
    <x v="1"/>
  </r>
  <r>
    <x v="118"/>
    <x v="116"/>
    <x v="21"/>
    <x v="0"/>
    <x v="18"/>
    <n v="0.96"/>
    <n v="93"/>
    <n v="56"/>
    <n v="83"/>
    <n v="50"/>
    <n v="59"/>
    <n v="341"/>
    <n v="0.68"/>
    <x v="1"/>
    <x v="0"/>
  </r>
  <r>
    <x v="119"/>
    <x v="117"/>
    <x v="71"/>
    <x v="4"/>
    <x v="17"/>
    <n v="0.7"/>
    <n v="83"/>
    <n v="61"/>
    <n v="66"/>
    <n v="66"/>
    <n v="55"/>
    <n v="331"/>
    <n v="0.66"/>
    <x v="1"/>
    <x v="0"/>
  </r>
  <r>
    <x v="120"/>
    <x v="118"/>
    <x v="72"/>
    <x v="1"/>
    <x v="25"/>
    <n v="0.98"/>
    <n v="90"/>
    <n v="78"/>
    <n v="45"/>
    <n v="45"/>
    <n v="38"/>
    <n v="296"/>
    <n v="0.59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3BEC2-D0E4-4E7E-AC00-C6F0FF2B91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GRADES ">
  <location ref="B4:C9" firstHeaderRow="1" firstDataRow="1" firstDataCol="1"/>
  <pivotFields count="15">
    <pivotField showAll="0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showAll="0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showAll="0">
      <items count="74">
        <item x="34"/>
        <item x="29"/>
        <item x="25"/>
        <item x="35"/>
        <item x="71"/>
        <item x="37"/>
        <item x="18"/>
        <item x="19"/>
        <item x="27"/>
        <item x="63"/>
        <item x="20"/>
        <item x="44"/>
        <item x="39"/>
        <item x="56"/>
        <item x="52"/>
        <item x="13"/>
        <item x="33"/>
        <item x="1"/>
        <item x="62"/>
        <item x="6"/>
        <item x="42"/>
        <item x="64"/>
        <item x="45"/>
        <item x="36"/>
        <item x="49"/>
        <item x="30"/>
        <item x="46"/>
        <item x="7"/>
        <item x="61"/>
        <item x="31"/>
        <item x="57"/>
        <item x="55"/>
        <item x="21"/>
        <item x="23"/>
        <item x="70"/>
        <item x="58"/>
        <item x="3"/>
        <item x="68"/>
        <item x="66"/>
        <item x="41"/>
        <item x="43"/>
        <item x="22"/>
        <item x="26"/>
        <item x="16"/>
        <item x="10"/>
        <item x="28"/>
        <item x="65"/>
        <item x="9"/>
        <item x="14"/>
        <item x="24"/>
        <item x="8"/>
        <item x="38"/>
        <item x="5"/>
        <item x="48"/>
        <item x="51"/>
        <item x="69"/>
        <item x="53"/>
        <item x="11"/>
        <item x="17"/>
        <item x="0"/>
        <item x="15"/>
        <item x="67"/>
        <item x="72"/>
        <item x="4"/>
        <item x="40"/>
        <item x="32"/>
        <item x="54"/>
        <item x="60"/>
        <item x="50"/>
        <item x="47"/>
        <item x="59"/>
        <item x="12"/>
        <item x="2"/>
        <item t="default"/>
      </items>
    </pivotField>
    <pivotField showAll="0"/>
    <pivotField dataField="1" showAll="0">
      <items count="30">
        <item x="13"/>
        <item x="3"/>
        <item x="19"/>
        <item x="11"/>
        <item x="21"/>
        <item x="14"/>
        <item x="18"/>
        <item x="4"/>
        <item x="1"/>
        <item x="23"/>
        <item x="17"/>
        <item x="27"/>
        <item x="28"/>
        <item x="12"/>
        <item x="20"/>
        <item x="6"/>
        <item x="7"/>
        <item x="5"/>
        <item x="25"/>
        <item x="16"/>
        <item x="9"/>
        <item x="8"/>
        <item x="26"/>
        <item x="0"/>
        <item x="10"/>
        <item x="22"/>
        <item x="24"/>
        <item x="2"/>
        <item x="15"/>
        <item t="default"/>
      </items>
    </pivotField>
    <pivotField numFmtId="9" showAll="0"/>
    <pivotField showAll="0"/>
    <pivotField showAll="0"/>
    <pivotField showAll="0"/>
    <pivotField showAll="0"/>
    <pivotField showAll="0"/>
    <pivotField showAll="0"/>
    <pivotField numFmtId="9" showAll="0"/>
    <pivotField axis="axisRow" showAll="0">
      <items count="5">
        <item x="2"/>
        <item x="1"/>
        <item x="0"/>
        <item x="3"/>
        <item t="default"/>
      </items>
    </pivotField>
    <pivotField showAll="0">
      <items count="3">
        <item x="1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STUDY HOURS " fld="4" subtotal="average" baseField="0" baseItem="0"/>
  </dataFields>
  <formats count="20">
    <format dxfId="47">
      <pivotArea collapsedLevelsAreSubtotals="1" fieldPosition="0">
        <references count="1">
          <reference field="13" count="0"/>
        </references>
      </pivotArea>
    </format>
    <format dxfId="46">
      <pivotArea grandRow="1" outline="0" collapsedLevelsAreSubtotals="1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fieldPosition="0">
        <references count="1">
          <reference field="13" count="0"/>
        </references>
      </pivotArea>
    </format>
    <format dxfId="42">
      <pivotArea dataOnly="0" labelOnly="1" grandRow="1" outline="0" fieldPosition="0"/>
    </format>
    <format dxfId="41">
      <pivotArea field="13" type="button" dataOnly="0" labelOnly="1" outline="0" axis="axisRow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3" type="button" dataOnly="0" labelOnly="1" outline="0" axis="axisRow" fieldPosition="0"/>
    </format>
    <format dxfId="36">
      <pivotArea dataOnly="0" labelOnly="1" fieldPosition="0">
        <references count="1">
          <reference field="13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13" count="0"/>
        </references>
      </pivotArea>
    </format>
    <format dxfId="30">
      <pivotArea dataOnly="0" labelOnly="1" grandRow="1" outline="0" fieldPosition="0"/>
    </format>
    <format dxfId="29">
      <pivotArea field="13" type="button" dataOnly="0" labelOnly="1" outline="0" axis="axisRow" fieldPosition="0"/>
    </format>
    <format dxfId="2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C55A2-7D9A-4943-8EA1-E3D1EBE6FE4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:F5" firstHeaderRow="0" firstDataRow="1" firstDataCol="0"/>
  <pivotFields count="15">
    <pivotField showAll="0"/>
    <pivotField showAll="0"/>
    <pivotField showAll="0"/>
    <pivotField showAll="0"/>
    <pivotField showAll="0"/>
    <pivotField numFmtId="9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numFmtId="9" showAll="0"/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ENGLISH " fld="6" subtotal="average" baseField="0" baseItem="1"/>
    <dataField name="MATHS  " fld="7" subtotal="average" baseField="0" baseItem="1"/>
    <dataField name="SCIENCE " fld="8" subtotal="average" baseField="0" baseItem="2"/>
    <dataField name="HISTORY " fld="9" subtotal="average" baseField="0" baseItem="3"/>
    <dataField name="HINDI  " fld="10" subtotal="average" baseField="0" baseItem="4"/>
  </dataFields>
  <formats count="7">
    <format dxfId="27">
      <pivotArea outline="0" collapsedLevelsAreSubtotals="1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D0B004-4D36-447D-8D47-A24FAB0132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">
  <location ref="B4:C10" firstHeaderRow="1" firstDataRow="1" firstDataCol="1"/>
  <pivotFields count="15">
    <pivotField showAll="0"/>
    <pivotField showAll="0"/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numFmtId="9"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g PEERCENTAGE" fld="12" subtotal="average" baseField="0" baseItem="0" numFmtId="9"/>
  </dataFields>
  <formats count="17">
    <format dxfId="20">
      <pivotArea field="3" type="button" dataOnly="0" labelOnly="1" outline="0" axis="axisRow" fieldPosition="0"/>
    </format>
    <format dxfId="19">
      <pivotArea dataOnly="0" labelOnly="1" outline="0" axis="axisValues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field="3" type="button" dataOnly="0" labelOnly="1" outline="0" axis="axisRow" fieldPosition="0"/>
    </format>
    <format dxfId="12">
      <pivotArea dataOnly="0" labelOnly="1" outline="0" axis="axisValues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3" type="button" dataOnly="0" labelOnly="1" outline="0" axis="axisRow" fieldPosition="0"/>
    </format>
    <format dxfId="6">
      <pivotArea dataOnly="0" labelOnly="1" fieldPosition="0">
        <references count="1">
          <reference field="3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1998-89E4-46CA-A322-28B07F217E79}">
  <dimension ref="A1:U127"/>
  <sheetViews>
    <sheetView workbookViewId="0">
      <selection activeCell="E20" sqref="E20"/>
    </sheetView>
  </sheetViews>
  <sheetFormatPr defaultRowHeight="15" x14ac:dyDescent="0.25"/>
  <cols>
    <col min="1" max="1" width="11.85546875" bestFit="1" customWidth="1"/>
    <col min="2" max="2" width="12" bestFit="1" customWidth="1"/>
    <col min="3" max="3" width="11.42578125" bestFit="1" customWidth="1"/>
    <col min="4" max="4" width="10.5703125" bestFit="1" customWidth="1"/>
    <col min="5" max="5" width="13" customWidth="1"/>
    <col min="6" max="6" width="15.7109375" bestFit="1" customWidth="1"/>
    <col min="12" max="12" width="13.85546875" bestFit="1" customWidth="1"/>
    <col min="13" max="13" width="12.85546875" bestFit="1" customWidth="1"/>
    <col min="17" max="18" width="15.28515625" bestFit="1" customWidth="1"/>
    <col min="19" max="19" width="15.140625" bestFit="1" customWidth="1"/>
    <col min="20" max="20" width="16" bestFit="1" customWidth="1"/>
    <col min="21" max="21" width="11" bestFit="1" customWidth="1"/>
  </cols>
  <sheetData>
    <row r="1" spans="1:21" x14ac:dyDescent="0.25">
      <c r="G1" s="33" t="s">
        <v>319</v>
      </c>
      <c r="H1" s="33"/>
      <c r="I1" s="33"/>
      <c r="J1" s="33"/>
      <c r="K1" s="33"/>
      <c r="L1" s="7"/>
      <c r="M1" s="2"/>
      <c r="N1" s="2"/>
      <c r="O1" s="2"/>
    </row>
    <row r="2" spans="1:21" x14ac:dyDescent="0.25">
      <c r="A2" s="2" t="s">
        <v>313</v>
      </c>
      <c r="B2" s="2" t="s">
        <v>316</v>
      </c>
      <c r="C2" s="2" t="s">
        <v>317</v>
      </c>
      <c r="D2" s="2" t="s">
        <v>318</v>
      </c>
      <c r="E2" s="2" t="s">
        <v>314</v>
      </c>
      <c r="F2" s="5" t="s">
        <v>315</v>
      </c>
      <c r="G2" s="3" t="s">
        <v>324</v>
      </c>
      <c r="H2" s="3" t="s">
        <v>325</v>
      </c>
      <c r="I2" s="3" t="s">
        <v>326</v>
      </c>
      <c r="J2" s="3" t="s">
        <v>327</v>
      </c>
      <c r="K2" s="3" t="s">
        <v>328</v>
      </c>
      <c r="L2" s="7" t="s">
        <v>320</v>
      </c>
      <c r="M2" s="2" t="s">
        <v>321</v>
      </c>
      <c r="N2" s="2" t="s">
        <v>322</v>
      </c>
      <c r="O2" s="2" t="s">
        <v>323</v>
      </c>
      <c r="Q2" s="2"/>
      <c r="R2" s="2"/>
      <c r="S2" s="2"/>
      <c r="T2" s="2"/>
      <c r="U2" s="2"/>
    </row>
    <row r="3" spans="1:21" x14ac:dyDescent="0.25">
      <c r="A3" t="s">
        <v>0</v>
      </c>
      <c r="B3" t="s">
        <v>1</v>
      </c>
      <c r="C3" t="s">
        <v>2</v>
      </c>
      <c r="D3">
        <v>15</v>
      </c>
      <c r="E3">
        <v>25</v>
      </c>
      <c r="F3" s="4">
        <v>0.64</v>
      </c>
      <c r="G3" s="3">
        <v>41</v>
      </c>
      <c r="H3" s="3">
        <v>67</v>
      </c>
      <c r="I3" s="3">
        <v>38</v>
      </c>
      <c r="J3" s="3">
        <v>39</v>
      </c>
      <c r="K3" s="3">
        <v>69</v>
      </c>
      <c r="L3" s="6">
        <v>254</v>
      </c>
      <c r="M3" s="1">
        <v>0.51</v>
      </c>
      <c r="N3" t="str">
        <f t="shared" ref="N3:N34" si="0">IF(M3&gt;=90%, "A", IF(M3&gt;=70%, "B", IF(M3&gt;=60%, "C", IF(M3&gt;=35%, "D", "F"))))</f>
        <v>D</v>
      </c>
      <c r="O3" t="str">
        <f t="shared" ref="O3:O34" si="1">IF(M3&gt;=35%, "PASS","FAIL")</f>
        <v>PASS</v>
      </c>
      <c r="T3" s="9"/>
      <c r="U3" s="9"/>
    </row>
    <row r="4" spans="1:21" x14ac:dyDescent="0.25">
      <c r="A4" t="s">
        <v>3</v>
      </c>
      <c r="B4" t="s">
        <v>4</v>
      </c>
      <c r="C4" t="s">
        <v>5</v>
      </c>
      <c r="D4">
        <v>15</v>
      </c>
      <c r="E4">
        <v>10</v>
      </c>
      <c r="F4" s="4">
        <v>0.69</v>
      </c>
      <c r="G4" s="3">
        <v>73</v>
      </c>
      <c r="H4" s="3">
        <v>59</v>
      </c>
      <c r="I4" s="3">
        <v>79</v>
      </c>
      <c r="J4" s="3">
        <v>45</v>
      </c>
      <c r="K4" s="3">
        <v>60</v>
      </c>
      <c r="L4" s="6">
        <v>316</v>
      </c>
      <c r="M4" s="1">
        <v>0.63</v>
      </c>
      <c r="N4" t="str">
        <f t="shared" si="0"/>
        <v>C</v>
      </c>
      <c r="O4" t="str">
        <f t="shared" si="1"/>
        <v>PASS</v>
      </c>
    </row>
    <row r="5" spans="1:21" x14ac:dyDescent="0.25">
      <c r="A5" t="s">
        <v>6</v>
      </c>
      <c r="B5" t="s">
        <v>7</v>
      </c>
      <c r="C5" t="s">
        <v>8</v>
      </c>
      <c r="D5">
        <v>15</v>
      </c>
      <c r="E5">
        <v>29</v>
      </c>
      <c r="F5" s="4">
        <v>0.92</v>
      </c>
      <c r="G5" s="3">
        <v>48</v>
      </c>
      <c r="H5" s="3">
        <v>78</v>
      </c>
      <c r="I5" s="3">
        <v>36</v>
      </c>
      <c r="J5" s="3">
        <v>24</v>
      </c>
      <c r="K5" s="3">
        <v>61</v>
      </c>
      <c r="L5" s="6">
        <v>247</v>
      </c>
      <c r="M5" s="1">
        <v>0.49</v>
      </c>
      <c r="N5" t="str">
        <f t="shared" si="0"/>
        <v>D</v>
      </c>
      <c r="O5" t="str">
        <f t="shared" si="1"/>
        <v>PASS</v>
      </c>
    </row>
    <row r="6" spans="1:21" x14ac:dyDescent="0.25">
      <c r="A6" t="s">
        <v>9</v>
      </c>
      <c r="B6" t="s">
        <v>10</v>
      </c>
      <c r="C6" t="s">
        <v>11</v>
      </c>
      <c r="D6">
        <v>15</v>
      </c>
      <c r="E6">
        <v>25</v>
      </c>
      <c r="F6" s="4">
        <v>0.74</v>
      </c>
      <c r="G6" s="3">
        <v>90</v>
      </c>
      <c r="H6" s="3">
        <v>79</v>
      </c>
      <c r="I6" s="3">
        <v>45</v>
      </c>
      <c r="J6" s="3">
        <v>70</v>
      </c>
      <c r="K6" s="3">
        <v>56</v>
      </c>
      <c r="L6" s="6">
        <v>340</v>
      </c>
      <c r="M6" s="1">
        <v>0.68</v>
      </c>
      <c r="N6" t="str">
        <f t="shared" si="0"/>
        <v>C</v>
      </c>
      <c r="O6" t="str">
        <f t="shared" si="1"/>
        <v>PASS</v>
      </c>
    </row>
    <row r="7" spans="1:21" x14ac:dyDescent="0.25">
      <c r="A7" t="s">
        <v>12</v>
      </c>
      <c r="B7" t="s">
        <v>13</v>
      </c>
      <c r="C7" t="s">
        <v>14</v>
      </c>
      <c r="D7">
        <v>19</v>
      </c>
      <c r="E7">
        <v>10</v>
      </c>
      <c r="F7" s="4">
        <v>0.91</v>
      </c>
      <c r="G7" s="3">
        <v>73</v>
      </c>
      <c r="H7" s="3">
        <v>49</v>
      </c>
      <c r="I7" s="3">
        <v>77</v>
      </c>
      <c r="J7" s="3">
        <v>63</v>
      </c>
      <c r="K7" s="3">
        <v>66</v>
      </c>
      <c r="L7" s="6">
        <v>328</v>
      </c>
      <c r="M7" s="1">
        <v>0.66</v>
      </c>
      <c r="N7" t="str">
        <f t="shared" si="0"/>
        <v>C</v>
      </c>
      <c r="O7" t="str">
        <f t="shared" si="1"/>
        <v>PASS</v>
      </c>
    </row>
    <row r="8" spans="1:21" x14ac:dyDescent="0.25">
      <c r="A8" t="s">
        <v>15</v>
      </c>
      <c r="B8" t="s">
        <v>16</v>
      </c>
      <c r="C8" t="s">
        <v>17</v>
      </c>
      <c r="D8">
        <v>17</v>
      </c>
      <c r="E8">
        <v>3</v>
      </c>
      <c r="F8" s="4">
        <v>0.5</v>
      </c>
      <c r="G8" s="3">
        <v>86</v>
      </c>
      <c r="H8" s="3">
        <v>38</v>
      </c>
      <c r="I8" s="3">
        <v>54</v>
      </c>
      <c r="J8" s="3">
        <v>59</v>
      </c>
      <c r="K8" s="3">
        <v>53</v>
      </c>
      <c r="L8" s="6">
        <v>290</v>
      </c>
      <c r="M8" s="1">
        <v>0.57999999999999996</v>
      </c>
      <c r="N8" t="str">
        <f t="shared" si="0"/>
        <v>D</v>
      </c>
      <c r="O8" t="str">
        <f t="shared" si="1"/>
        <v>PASS</v>
      </c>
    </row>
    <row r="9" spans="1:21" x14ac:dyDescent="0.25">
      <c r="A9" t="s">
        <v>18</v>
      </c>
      <c r="B9" t="s">
        <v>19</v>
      </c>
      <c r="C9" t="s">
        <v>8</v>
      </c>
      <c r="D9">
        <v>15</v>
      </c>
      <c r="E9">
        <v>9</v>
      </c>
      <c r="F9" s="4">
        <v>0.6</v>
      </c>
      <c r="G9" s="3">
        <v>84</v>
      </c>
      <c r="H9" s="3">
        <v>38</v>
      </c>
      <c r="I9" s="3">
        <v>83</v>
      </c>
      <c r="J9" s="3">
        <v>46</v>
      </c>
      <c r="K9" s="3">
        <v>31</v>
      </c>
      <c r="L9" s="6">
        <v>282</v>
      </c>
      <c r="M9" s="1">
        <v>0.56000000000000005</v>
      </c>
      <c r="N9" t="str">
        <f t="shared" si="0"/>
        <v>D</v>
      </c>
      <c r="O9" t="str">
        <f t="shared" si="1"/>
        <v>PASS</v>
      </c>
    </row>
    <row r="10" spans="1:21" x14ac:dyDescent="0.25">
      <c r="A10" t="s">
        <v>20</v>
      </c>
      <c r="B10" t="s">
        <v>21</v>
      </c>
      <c r="C10" t="s">
        <v>22</v>
      </c>
      <c r="D10">
        <v>15</v>
      </c>
      <c r="E10">
        <v>19</v>
      </c>
      <c r="F10" s="4">
        <v>0.63</v>
      </c>
      <c r="G10" s="3">
        <v>89</v>
      </c>
      <c r="H10" s="3">
        <v>71</v>
      </c>
      <c r="I10" s="3">
        <v>66</v>
      </c>
      <c r="J10" s="3">
        <v>64</v>
      </c>
      <c r="K10" s="3">
        <v>43</v>
      </c>
      <c r="L10" s="6">
        <v>333</v>
      </c>
      <c r="M10" s="1">
        <v>0.67</v>
      </c>
      <c r="N10" t="str">
        <f t="shared" si="0"/>
        <v>C</v>
      </c>
      <c r="O10" t="str">
        <f t="shared" si="1"/>
        <v>PASS</v>
      </c>
    </row>
    <row r="11" spans="1:21" x14ac:dyDescent="0.25">
      <c r="A11" t="s">
        <v>23</v>
      </c>
      <c r="B11" t="s">
        <v>24</v>
      </c>
      <c r="C11" t="s">
        <v>25</v>
      </c>
      <c r="D11">
        <v>19</v>
      </c>
      <c r="E11">
        <v>17</v>
      </c>
      <c r="F11" s="4">
        <v>0.67</v>
      </c>
      <c r="G11" s="3">
        <v>71</v>
      </c>
      <c r="H11" s="3">
        <v>50</v>
      </c>
      <c r="I11" s="3">
        <v>74</v>
      </c>
      <c r="J11" s="3">
        <v>54</v>
      </c>
      <c r="K11" s="3">
        <v>77</v>
      </c>
      <c r="L11" s="6">
        <v>326</v>
      </c>
      <c r="M11" s="1">
        <v>0.65</v>
      </c>
      <c r="N11" t="str">
        <f t="shared" si="0"/>
        <v>C</v>
      </c>
      <c r="O11" t="str">
        <f t="shared" si="1"/>
        <v>PASS</v>
      </c>
    </row>
    <row r="12" spans="1:21" x14ac:dyDescent="0.25">
      <c r="A12" t="s">
        <v>26</v>
      </c>
      <c r="B12" t="s">
        <v>27</v>
      </c>
      <c r="C12" t="s">
        <v>28</v>
      </c>
      <c r="D12">
        <v>16</v>
      </c>
      <c r="E12">
        <v>18</v>
      </c>
      <c r="F12" s="4">
        <v>0.75</v>
      </c>
      <c r="G12" s="3">
        <v>50</v>
      </c>
      <c r="H12" s="3">
        <v>69</v>
      </c>
      <c r="I12" s="3">
        <v>81</v>
      </c>
      <c r="J12" s="3">
        <v>52</v>
      </c>
      <c r="K12" s="3">
        <v>93</v>
      </c>
      <c r="L12" s="6">
        <v>345</v>
      </c>
      <c r="M12" s="1">
        <v>0.69</v>
      </c>
      <c r="N12" t="str">
        <f t="shared" si="0"/>
        <v>C</v>
      </c>
      <c r="O12" t="str">
        <f t="shared" si="1"/>
        <v>PASS</v>
      </c>
    </row>
    <row r="13" spans="1:21" x14ac:dyDescent="0.25">
      <c r="A13" t="s">
        <v>29</v>
      </c>
      <c r="B13" t="s">
        <v>30</v>
      </c>
      <c r="C13" t="s">
        <v>31</v>
      </c>
      <c r="D13">
        <v>16</v>
      </c>
      <c r="E13">
        <v>9</v>
      </c>
      <c r="F13" s="4">
        <v>0.51</v>
      </c>
      <c r="G13" s="3">
        <v>65</v>
      </c>
      <c r="H13" s="3">
        <v>28</v>
      </c>
      <c r="I13" s="3">
        <v>95</v>
      </c>
      <c r="J13" s="3">
        <v>73</v>
      </c>
      <c r="K13" s="3">
        <v>85</v>
      </c>
      <c r="L13" s="6">
        <v>346</v>
      </c>
      <c r="M13" s="1">
        <v>0.69</v>
      </c>
      <c r="N13" t="str">
        <f t="shared" si="0"/>
        <v>C</v>
      </c>
      <c r="O13" t="str">
        <f t="shared" si="1"/>
        <v>PASS</v>
      </c>
    </row>
    <row r="14" spans="1:21" x14ac:dyDescent="0.25">
      <c r="A14" t="s">
        <v>32</v>
      </c>
      <c r="B14" t="s">
        <v>33</v>
      </c>
      <c r="C14" t="s">
        <v>34</v>
      </c>
      <c r="D14">
        <v>19</v>
      </c>
      <c r="E14">
        <v>23</v>
      </c>
      <c r="F14" s="4">
        <v>0.62</v>
      </c>
      <c r="G14" s="3">
        <v>89</v>
      </c>
      <c r="H14" s="3">
        <v>75</v>
      </c>
      <c r="I14" s="3">
        <v>53</v>
      </c>
      <c r="J14" s="3">
        <v>52</v>
      </c>
      <c r="K14" s="3">
        <v>43</v>
      </c>
      <c r="L14" s="6">
        <v>312</v>
      </c>
      <c r="M14" s="1">
        <v>0.62</v>
      </c>
      <c r="N14" t="str">
        <f t="shared" si="0"/>
        <v>C</v>
      </c>
      <c r="O14" t="str">
        <f t="shared" si="1"/>
        <v>PASS</v>
      </c>
    </row>
    <row r="15" spans="1:21" x14ac:dyDescent="0.25">
      <c r="A15" t="s">
        <v>35</v>
      </c>
      <c r="B15" t="s">
        <v>36</v>
      </c>
      <c r="C15" t="s">
        <v>37</v>
      </c>
      <c r="D15">
        <v>17</v>
      </c>
      <c r="E15">
        <v>22</v>
      </c>
      <c r="F15" s="4">
        <v>0.95</v>
      </c>
      <c r="G15" s="3">
        <v>52</v>
      </c>
      <c r="H15" s="3">
        <v>79</v>
      </c>
      <c r="I15" s="3">
        <v>63</v>
      </c>
      <c r="J15" s="3">
        <v>76</v>
      </c>
      <c r="K15" s="3">
        <v>41</v>
      </c>
      <c r="L15" s="6">
        <v>311</v>
      </c>
      <c r="M15" s="1">
        <v>0.62</v>
      </c>
      <c r="N15" t="str">
        <f t="shared" si="0"/>
        <v>C</v>
      </c>
      <c r="O15" t="str">
        <f t="shared" si="1"/>
        <v>PASS</v>
      </c>
    </row>
    <row r="16" spans="1:21" x14ac:dyDescent="0.25">
      <c r="A16" t="s">
        <v>38</v>
      </c>
      <c r="B16" t="s">
        <v>39</v>
      </c>
      <c r="C16" t="s">
        <v>40</v>
      </c>
      <c r="D16">
        <v>16</v>
      </c>
      <c r="E16">
        <v>26</v>
      </c>
      <c r="F16" s="4">
        <v>0.67</v>
      </c>
      <c r="G16" s="3">
        <v>75</v>
      </c>
      <c r="H16" s="3">
        <v>70</v>
      </c>
      <c r="I16" s="3">
        <v>82</v>
      </c>
      <c r="J16" s="3">
        <v>72</v>
      </c>
      <c r="K16" s="3">
        <v>87</v>
      </c>
      <c r="L16" s="6">
        <v>386</v>
      </c>
      <c r="M16" s="1">
        <v>0.77</v>
      </c>
      <c r="N16" t="str">
        <f t="shared" si="0"/>
        <v>B</v>
      </c>
      <c r="O16" t="str">
        <f t="shared" si="1"/>
        <v>PASS</v>
      </c>
    </row>
    <row r="17" spans="1:15" x14ac:dyDescent="0.25">
      <c r="A17" t="s">
        <v>41</v>
      </c>
      <c r="B17" t="s">
        <v>42</v>
      </c>
      <c r="C17" t="s">
        <v>43</v>
      </c>
      <c r="D17">
        <v>17</v>
      </c>
      <c r="E17">
        <v>5</v>
      </c>
      <c r="F17" s="4">
        <v>0.87</v>
      </c>
      <c r="G17" s="3">
        <v>91</v>
      </c>
      <c r="H17" s="3">
        <v>44</v>
      </c>
      <c r="I17" s="3">
        <v>58</v>
      </c>
      <c r="J17" s="3">
        <v>51</v>
      </c>
      <c r="K17" s="3">
        <v>92</v>
      </c>
      <c r="L17" s="6">
        <v>336</v>
      </c>
      <c r="M17" s="1">
        <v>0.67</v>
      </c>
      <c r="N17" t="str">
        <f t="shared" si="0"/>
        <v>C</v>
      </c>
      <c r="O17" t="str">
        <f t="shared" si="1"/>
        <v>PASS</v>
      </c>
    </row>
    <row r="18" spans="1:15" x14ac:dyDescent="0.25">
      <c r="A18" t="s">
        <v>44</v>
      </c>
      <c r="B18" t="s">
        <v>45</v>
      </c>
      <c r="C18" t="s">
        <v>11</v>
      </c>
      <c r="D18">
        <v>17</v>
      </c>
      <c r="E18">
        <v>19</v>
      </c>
      <c r="F18" s="4">
        <v>0.51</v>
      </c>
      <c r="G18" s="3">
        <v>44</v>
      </c>
      <c r="H18" s="3">
        <v>51</v>
      </c>
      <c r="I18" s="3">
        <v>37</v>
      </c>
      <c r="J18" s="3">
        <v>44</v>
      </c>
      <c r="K18" s="3">
        <v>88</v>
      </c>
      <c r="L18" s="6">
        <v>264</v>
      </c>
      <c r="M18" s="1">
        <v>0.53</v>
      </c>
      <c r="N18" t="str">
        <f t="shared" si="0"/>
        <v>D</v>
      </c>
      <c r="O18" t="str">
        <f t="shared" si="1"/>
        <v>PASS</v>
      </c>
    </row>
    <row r="19" spans="1:15" x14ac:dyDescent="0.25">
      <c r="A19" t="s">
        <v>46</v>
      </c>
      <c r="B19" t="s">
        <v>47</v>
      </c>
      <c r="C19" t="s">
        <v>48</v>
      </c>
      <c r="D19">
        <v>19</v>
      </c>
      <c r="E19">
        <v>15</v>
      </c>
      <c r="F19" s="4">
        <v>0.65</v>
      </c>
      <c r="G19" s="3">
        <v>56</v>
      </c>
      <c r="H19" s="3">
        <v>58</v>
      </c>
      <c r="I19" s="3">
        <v>81</v>
      </c>
      <c r="J19" s="3">
        <v>47</v>
      </c>
      <c r="K19" s="3">
        <v>43</v>
      </c>
      <c r="L19" s="6">
        <v>285</v>
      </c>
      <c r="M19" s="1">
        <v>0.56999999999999995</v>
      </c>
      <c r="N19" t="str">
        <f t="shared" si="0"/>
        <v>D</v>
      </c>
      <c r="O19" t="str">
        <f t="shared" si="1"/>
        <v>PASS</v>
      </c>
    </row>
    <row r="20" spans="1:15" x14ac:dyDescent="0.25">
      <c r="A20" t="s">
        <v>49</v>
      </c>
      <c r="B20" t="s">
        <v>50</v>
      </c>
      <c r="C20" t="s">
        <v>51</v>
      </c>
      <c r="D20">
        <v>17</v>
      </c>
      <c r="E20">
        <v>2</v>
      </c>
      <c r="F20" s="4">
        <v>0.78</v>
      </c>
      <c r="G20" s="3">
        <v>59</v>
      </c>
      <c r="H20" s="3">
        <v>42</v>
      </c>
      <c r="I20" s="3">
        <v>81</v>
      </c>
      <c r="J20" s="3">
        <v>51</v>
      </c>
      <c r="K20" s="3">
        <v>89</v>
      </c>
      <c r="L20" s="6">
        <v>322</v>
      </c>
      <c r="M20" s="1">
        <v>0.64</v>
      </c>
      <c r="N20" t="str">
        <f t="shared" si="0"/>
        <v>C</v>
      </c>
      <c r="O20" t="str">
        <f t="shared" si="1"/>
        <v>PASS</v>
      </c>
    </row>
    <row r="21" spans="1:15" x14ac:dyDescent="0.25">
      <c r="A21" t="s">
        <v>52</v>
      </c>
      <c r="B21" t="s">
        <v>53</v>
      </c>
      <c r="C21" t="s">
        <v>54</v>
      </c>
      <c r="D21">
        <v>15</v>
      </c>
      <c r="E21">
        <v>7</v>
      </c>
      <c r="F21" s="4">
        <v>0.69</v>
      </c>
      <c r="G21" s="3">
        <v>66</v>
      </c>
      <c r="H21" s="3">
        <v>42</v>
      </c>
      <c r="I21" s="3">
        <v>46</v>
      </c>
      <c r="J21" s="3">
        <v>41</v>
      </c>
      <c r="K21" s="3">
        <v>54</v>
      </c>
      <c r="L21" s="6">
        <v>249</v>
      </c>
      <c r="M21" s="1">
        <v>0.5</v>
      </c>
      <c r="N21" t="str">
        <f t="shared" si="0"/>
        <v>D</v>
      </c>
      <c r="O21" t="str">
        <f t="shared" si="1"/>
        <v>PASS</v>
      </c>
    </row>
    <row r="22" spans="1:15" x14ac:dyDescent="0.25">
      <c r="A22" t="s">
        <v>55</v>
      </c>
      <c r="B22" t="s">
        <v>56</v>
      </c>
      <c r="C22" t="s">
        <v>57</v>
      </c>
      <c r="D22">
        <v>15</v>
      </c>
      <c r="E22">
        <v>30</v>
      </c>
      <c r="F22" s="4">
        <v>0.55000000000000004</v>
      </c>
      <c r="G22" s="3">
        <v>66</v>
      </c>
      <c r="H22" s="3">
        <v>78</v>
      </c>
      <c r="I22" s="3">
        <v>75</v>
      </c>
      <c r="J22" s="3">
        <v>63</v>
      </c>
      <c r="K22" s="3">
        <v>59</v>
      </c>
      <c r="L22" s="6">
        <v>341</v>
      </c>
      <c r="M22" s="1">
        <v>0.68</v>
      </c>
      <c r="N22" t="str">
        <f t="shared" si="0"/>
        <v>C</v>
      </c>
      <c r="O22" t="str">
        <f t="shared" si="1"/>
        <v>PASS</v>
      </c>
    </row>
    <row r="23" spans="1:15" x14ac:dyDescent="0.25">
      <c r="A23" t="s">
        <v>58</v>
      </c>
      <c r="B23" t="s">
        <v>59</v>
      </c>
      <c r="C23" t="s">
        <v>60</v>
      </c>
      <c r="D23">
        <v>19</v>
      </c>
      <c r="E23">
        <v>26</v>
      </c>
      <c r="F23" s="4">
        <v>0.75</v>
      </c>
      <c r="G23" s="3">
        <v>64</v>
      </c>
      <c r="H23" s="3">
        <v>76</v>
      </c>
      <c r="I23" s="3">
        <v>91</v>
      </c>
      <c r="J23" s="3">
        <v>61</v>
      </c>
      <c r="K23" s="3">
        <v>74</v>
      </c>
      <c r="L23" s="6">
        <v>366</v>
      </c>
      <c r="M23" s="1">
        <v>0.73</v>
      </c>
      <c r="N23" t="str">
        <f t="shared" si="0"/>
        <v>B</v>
      </c>
      <c r="O23" t="str">
        <f t="shared" si="1"/>
        <v>PASS</v>
      </c>
    </row>
    <row r="24" spans="1:15" x14ac:dyDescent="0.25">
      <c r="A24" t="s">
        <v>61</v>
      </c>
      <c r="B24" t="s">
        <v>62</v>
      </c>
      <c r="C24" t="s">
        <v>63</v>
      </c>
      <c r="D24">
        <v>17</v>
      </c>
      <c r="E24">
        <v>3</v>
      </c>
      <c r="F24" s="4">
        <v>0.99</v>
      </c>
      <c r="G24" s="3">
        <v>92</v>
      </c>
      <c r="H24" s="3">
        <v>40</v>
      </c>
      <c r="I24" s="3">
        <v>73</v>
      </c>
      <c r="J24" s="3">
        <v>68</v>
      </c>
      <c r="K24" s="3">
        <v>65</v>
      </c>
      <c r="L24" s="6">
        <v>338</v>
      </c>
      <c r="M24" s="1">
        <v>0.68</v>
      </c>
      <c r="N24" t="str">
        <f t="shared" si="0"/>
        <v>C</v>
      </c>
      <c r="O24" t="str">
        <f t="shared" si="1"/>
        <v>PASS</v>
      </c>
    </row>
    <row r="25" spans="1:15" x14ac:dyDescent="0.25">
      <c r="A25" t="s">
        <v>64</v>
      </c>
      <c r="B25" t="s">
        <v>65</v>
      </c>
      <c r="C25" t="s">
        <v>66</v>
      </c>
      <c r="D25">
        <v>16</v>
      </c>
      <c r="E25">
        <v>21</v>
      </c>
      <c r="F25" s="4">
        <v>0.8</v>
      </c>
      <c r="G25" s="3">
        <v>23</v>
      </c>
      <c r="H25" s="3">
        <v>27</v>
      </c>
      <c r="I25" s="3">
        <v>21</v>
      </c>
      <c r="J25" s="3">
        <v>23</v>
      </c>
      <c r="K25" s="3">
        <v>22</v>
      </c>
      <c r="L25" s="6">
        <v>116</v>
      </c>
      <c r="M25" s="1">
        <v>0.23</v>
      </c>
      <c r="N25" t="str">
        <f t="shared" si="0"/>
        <v>F</v>
      </c>
      <c r="O25" t="str">
        <f t="shared" si="1"/>
        <v>FAIL</v>
      </c>
    </row>
    <row r="26" spans="1:15" x14ac:dyDescent="0.25">
      <c r="A26" t="s">
        <v>67</v>
      </c>
      <c r="B26" t="s">
        <v>68</v>
      </c>
      <c r="C26" t="s">
        <v>69</v>
      </c>
      <c r="D26">
        <v>17</v>
      </c>
      <c r="E26">
        <v>26</v>
      </c>
      <c r="F26" s="4">
        <v>0.78</v>
      </c>
      <c r="G26" s="3">
        <v>50</v>
      </c>
      <c r="H26" s="3">
        <v>82</v>
      </c>
      <c r="I26" s="3">
        <v>38</v>
      </c>
      <c r="J26" s="3">
        <v>61</v>
      </c>
      <c r="K26" s="3">
        <v>85</v>
      </c>
      <c r="L26" s="6">
        <v>316</v>
      </c>
      <c r="M26" s="1">
        <v>0.63</v>
      </c>
      <c r="N26" t="str">
        <f t="shared" si="0"/>
        <v>C</v>
      </c>
      <c r="O26" t="str">
        <f t="shared" si="1"/>
        <v>PASS</v>
      </c>
    </row>
    <row r="27" spans="1:15" x14ac:dyDescent="0.25">
      <c r="A27" t="s">
        <v>70</v>
      </c>
      <c r="B27" t="s">
        <v>71</v>
      </c>
      <c r="C27" t="s">
        <v>60</v>
      </c>
      <c r="D27">
        <v>17</v>
      </c>
      <c r="E27">
        <v>15</v>
      </c>
      <c r="F27" s="4">
        <v>0.71</v>
      </c>
      <c r="G27" s="3">
        <v>81</v>
      </c>
      <c r="H27" s="3">
        <v>67</v>
      </c>
      <c r="I27" s="3">
        <v>49</v>
      </c>
      <c r="J27" s="3">
        <v>57</v>
      </c>
      <c r="K27" s="3">
        <v>39</v>
      </c>
      <c r="L27" s="6">
        <v>293</v>
      </c>
      <c r="M27" s="1">
        <v>0.59</v>
      </c>
      <c r="N27" t="str">
        <f t="shared" si="0"/>
        <v>D</v>
      </c>
      <c r="O27" t="str">
        <f t="shared" si="1"/>
        <v>PASS</v>
      </c>
    </row>
    <row r="28" spans="1:15" x14ac:dyDescent="0.25">
      <c r="A28" t="s">
        <v>72</v>
      </c>
      <c r="B28" t="s">
        <v>73</v>
      </c>
      <c r="C28" t="s">
        <v>74</v>
      </c>
      <c r="D28">
        <v>17</v>
      </c>
      <c r="E28">
        <v>12</v>
      </c>
      <c r="F28" s="4">
        <v>0.84</v>
      </c>
      <c r="G28" s="3">
        <v>93</v>
      </c>
      <c r="H28" s="3">
        <v>55</v>
      </c>
      <c r="I28" s="3">
        <v>88</v>
      </c>
      <c r="J28" s="3">
        <v>26</v>
      </c>
      <c r="K28" s="3">
        <v>40</v>
      </c>
      <c r="L28" s="6">
        <v>302</v>
      </c>
      <c r="M28" s="1">
        <v>0.6</v>
      </c>
      <c r="N28" t="str">
        <f t="shared" si="0"/>
        <v>C</v>
      </c>
      <c r="O28" t="str">
        <f t="shared" si="1"/>
        <v>PASS</v>
      </c>
    </row>
    <row r="29" spans="1:15" x14ac:dyDescent="0.25">
      <c r="A29" t="s">
        <v>75</v>
      </c>
      <c r="B29" t="s">
        <v>76</v>
      </c>
      <c r="C29" t="s">
        <v>77</v>
      </c>
      <c r="D29">
        <v>17</v>
      </c>
      <c r="E29">
        <v>8</v>
      </c>
      <c r="F29" s="4">
        <v>0.84</v>
      </c>
      <c r="G29" s="3">
        <v>36</v>
      </c>
      <c r="H29" s="3">
        <v>31</v>
      </c>
      <c r="I29" s="3">
        <v>39</v>
      </c>
      <c r="J29" s="3">
        <v>58</v>
      </c>
      <c r="K29" s="3">
        <v>33</v>
      </c>
      <c r="L29" s="6">
        <v>197</v>
      </c>
      <c r="M29" s="1">
        <v>0.39</v>
      </c>
      <c r="N29" t="str">
        <f t="shared" si="0"/>
        <v>D</v>
      </c>
      <c r="O29" t="str">
        <f t="shared" si="1"/>
        <v>PASS</v>
      </c>
    </row>
    <row r="30" spans="1:15" x14ac:dyDescent="0.25">
      <c r="A30" t="s">
        <v>78</v>
      </c>
      <c r="B30" t="s">
        <v>79</v>
      </c>
      <c r="C30" t="s">
        <v>80</v>
      </c>
      <c r="D30">
        <v>16</v>
      </c>
      <c r="E30">
        <v>21</v>
      </c>
      <c r="F30" s="4">
        <v>0.79</v>
      </c>
      <c r="G30" s="3">
        <v>66</v>
      </c>
      <c r="H30" s="3">
        <v>59</v>
      </c>
      <c r="I30" s="3">
        <v>62</v>
      </c>
      <c r="J30" s="3">
        <v>46</v>
      </c>
      <c r="K30" s="3">
        <v>67</v>
      </c>
      <c r="L30" s="6">
        <v>300</v>
      </c>
      <c r="M30" s="1">
        <v>0.6</v>
      </c>
      <c r="N30" t="str">
        <f t="shared" si="0"/>
        <v>C</v>
      </c>
      <c r="O30" t="str">
        <f t="shared" si="1"/>
        <v>PASS</v>
      </c>
    </row>
    <row r="31" spans="1:15" x14ac:dyDescent="0.25">
      <c r="A31" t="s">
        <v>81</v>
      </c>
      <c r="B31" t="s">
        <v>82</v>
      </c>
      <c r="C31" t="s">
        <v>83</v>
      </c>
      <c r="D31">
        <v>18</v>
      </c>
      <c r="E31">
        <v>30</v>
      </c>
      <c r="F31" s="4">
        <v>0.79</v>
      </c>
      <c r="G31" s="3">
        <v>30</v>
      </c>
      <c r="H31" s="3">
        <v>75</v>
      </c>
      <c r="I31" s="3">
        <v>35</v>
      </c>
      <c r="J31" s="3">
        <v>33</v>
      </c>
      <c r="K31" s="3">
        <v>71</v>
      </c>
      <c r="L31" s="6">
        <v>244</v>
      </c>
      <c r="M31" s="1">
        <v>0.49</v>
      </c>
      <c r="N31" t="str">
        <f t="shared" si="0"/>
        <v>D</v>
      </c>
      <c r="O31" t="str">
        <f t="shared" si="1"/>
        <v>PASS</v>
      </c>
    </row>
    <row r="32" spans="1:15" x14ac:dyDescent="0.25">
      <c r="A32" t="s">
        <v>84</v>
      </c>
      <c r="B32" t="s">
        <v>85</v>
      </c>
      <c r="C32" t="s">
        <v>86</v>
      </c>
      <c r="D32">
        <v>18</v>
      </c>
      <c r="E32">
        <v>4</v>
      </c>
      <c r="F32" s="4">
        <v>0.8</v>
      </c>
      <c r="G32" s="3">
        <v>23</v>
      </c>
      <c r="H32" s="3">
        <v>13</v>
      </c>
      <c r="I32" s="3">
        <v>11</v>
      </c>
      <c r="J32" s="3">
        <v>43</v>
      </c>
      <c r="K32" s="3">
        <v>46</v>
      </c>
      <c r="L32" s="6">
        <v>136</v>
      </c>
      <c r="M32" s="1">
        <v>0.27</v>
      </c>
      <c r="N32" t="str">
        <f t="shared" si="0"/>
        <v>F</v>
      </c>
      <c r="O32" t="str">
        <f t="shared" si="1"/>
        <v>FAIL</v>
      </c>
    </row>
    <row r="33" spans="1:15" x14ac:dyDescent="0.25">
      <c r="A33" t="s">
        <v>87</v>
      </c>
      <c r="B33" t="s">
        <v>88</v>
      </c>
      <c r="C33" t="s">
        <v>89</v>
      </c>
      <c r="D33">
        <v>17</v>
      </c>
      <c r="E33">
        <v>9</v>
      </c>
      <c r="F33" s="4">
        <v>0.83</v>
      </c>
      <c r="G33" s="3">
        <v>55</v>
      </c>
      <c r="H33" s="3">
        <v>34</v>
      </c>
      <c r="I33" s="3">
        <v>40</v>
      </c>
      <c r="J33" s="3">
        <v>62</v>
      </c>
      <c r="K33" s="3">
        <v>92</v>
      </c>
      <c r="L33" s="6">
        <v>283</v>
      </c>
      <c r="M33" s="1">
        <v>0.56999999999999995</v>
      </c>
      <c r="N33" t="str">
        <f t="shared" si="0"/>
        <v>D</v>
      </c>
      <c r="O33" t="str">
        <f t="shared" si="1"/>
        <v>PASS</v>
      </c>
    </row>
    <row r="34" spans="1:15" x14ac:dyDescent="0.25">
      <c r="A34" t="s">
        <v>90</v>
      </c>
      <c r="B34" t="s">
        <v>91</v>
      </c>
      <c r="C34" t="s">
        <v>92</v>
      </c>
      <c r="D34">
        <v>17</v>
      </c>
      <c r="E34">
        <v>16</v>
      </c>
      <c r="F34" s="4">
        <v>0.94</v>
      </c>
      <c r="G34" s="3">
        <v>60</v>
      </c>
      <c r="H34" s="3">
        <v>71</v>
      </c>
      <c r="I34" s="3">
        <v>32</v>
      </c>
      <c r="J34" s="3">
        <v>72</v>
      </c>
      <c r="K34" s="3">
        <v>72</v>
      </c>
      <c r="L34" s="6">
        <v>307</v>
      </c>
      <c r="M34" s="1">
        <v>0.61</v>
      </c>
      <c r="N34" t="str">
        <f t="shared" si="0"/>
        <v>C</v>
      </c>
      <c r="O34" t="str">
        <f t="shared" si="1"/>
        <v>PASS</v>
      </c>
    </row>
    <row r="35" spans="1:15" x14ac:dyDescent="0.25">
      <c r="A35" t="s">
        <v>93</v>
      </c>
      <c r="B35" t="s">
        <v>94</v>
      </c>
      <c r="C35" t="s">
        <v>95</v>
      </c>
      <c r="D35">
        <v>18</v>
      </c>
      <c r="E35">
        <v>9</v>
      </c>
      <c r="F35" s="4">
        <v>0.94</v>
      </c>
      <c r="G35" s="3">
        <v>36</v>
      </c>
      <c r="H35" s="3">
        <v>53</v>
      </c>
      <c r="I35" s="3">
        <v>69</v>
      </c>
      <c r="J35" s="3">
        <v>27</v>
      </c>
      <c r="K35" s="3">
        <v>32</v>
      </c>
      <c r="L35" s="6">
        <v>217</v>
      </c>
      <c r="M35" s="1">
        <v>0.43</v>
      </c>
      <c r="N35" t="str">
        <f t="shared" ref="N35:N66" si="2">IF(M35&gt;=90%, "A", IF(M35&gt;=70%, "B", IF(M35&gt;=60%, "C", IF(M35&gt;=35%, "D", "F"))))</f>
        <v>D</v>
      </c>
      <c r="O35" t="str">
        <f t="shared" ref="O35:O66" si="3">IF(M35&gt;=35%, "PASS","FAIL")</f>
        <v>PASS</v>
      </c>
    </row>
    <row r="36" spans="1:15" x14ac:dyDescent="0.25">
      <c r="A36" t="s">
        <v>96</v>
      </c>
      <c r="B36" t="s">
        <v>97</v>
      </c>
      <c r="C36" t="s">
        <v>98</v>
      </c>
      <c r="D36">
        <v>18</v>
      </c>
      <c r="E36">
        <v>10</v>
      </c>
      <c r="F36" s="4">
        <v>0.83</v>
      </c>
      <c r="G36" s="3">
        <v>39</v>
      </c>
      <c r="H36" s="3">
        <v>46</v>
      </c>
      <c r="I36" s="3">
        <v>84</v>
      </c>
      <c r="J36" s="3">
        <v>72</v>
      </c>
      <c r="K36" s="3">
        <v>87</v>
      </c>
      <c r="L36" s="6">
        <v>328</v>
      </c>
      <c r="M36" s="1">
        <v>0.66</v>
      </c>
      <c r="N36" t="str">
        <f t="shared" si="2"/>
        <v>C</v>
      </c>
      <c r="O36" t="str">
        <f t="shared" si="3"/>
        <v>PASS</v>
      </c>
    </row>
    <row r="37" spans="1:15" x14ac:dyDescent="0.25">
      <c r="A37" t="s">
        <v>99</v>
      </c>
      <c r="B37" t="s">
        <v>100</v>
      </c>
      <c r="C37" t="s">
        <v>101</v>
      </c>
      <c r="D37">
        <v>16</v>
      </c>
      <c r="E37">
        <v>10</v>
      </c>
      <c r="F37" s="4">
        <v>0.91</v>
      </c>
      <c r="G37" s="3">
        <v>69</v>
      </c>
      <c r="H37" s="3">
        <v>60</v>
      </c>
      <c r="I37" s="3">
        <v>36</v>
      </c>
      <c r="J37" s="3">
        <v>36</v>
      </c>
      <c r="K37" s="3">
        <v>68</v>
      </c>
      <c r="L37" s="6">
        <v>269</v>
      </c>
      <c r="M37" s="1">
        <v>0.54</v>
      </c>
      <c r="N37" t="str">
        <f t="shared" si="2"/>
        <v>D</v>
      </c>
      <c r="O37" t="str">
        <f t="shared" si="3"/>
        <v>PASS</v>
      </c>
    </row>
    <row r="38" spans="1:15" x14ac:dyDescent="0.25">
      <c r="A38" t="s">
        <v>102</v>
      </c>
      <c r="B38" t="s">
        <v>103</v>
      </c>
      <c r="C38" t="s">
        <v>104</v>
      </c>
      <c r="D38">
        <v>16</v>
      </c>
      <c r="E38">
        <v>6</v>
      </c>
      <c r="F38" s="4">
        <v>0.74</v>
      </c>
      <c r="G38" s="3">
        <v>62</v>
      </c>
      <c r="H38" s="3">
        <v>52</v>
      </c>
      <c r="I38" s="3">
        <v>74</v>
      </c>
      <c r="J38" s="3">
        <v>61</v>
      </c>
      <c r="K38" s="3">
        <v>31</v>
      </c>
      <c r="L38" s="6">
        <v>280</v>
      </c>
      <c r="M38" s="1">
        <v>0.56000000000000005</v>
      </c>
      <c r="N38" t="str">
        <f t="shared" si="2"/>
        <v>D</v>
      </c>
      <c r="O38" t="str">
        <f t="shared" si="3"/>
        <v>PASS</v>
      </c>
    </row>
    <row r="39" spans="1:15" x14ac:dyDescent="0.25">
      <c r="A39" t="s">
        <v>105</v>
      </c>
      <c r="B39" t="s">
        <v>106</v>
      </c>
      <c r="C39" t="s">
        <v>51</v>
      </c>
      <c r="D39">
        <v>17</v>
      </c>
      <c r="E39">
        <v>15</v>
      </c>
      <c r="F39" s="4">
        <v>0.54</v>
      </c>
      <c r="G39" s="3">
        <v>68</v>
      </c>
      <c r="H39" s="3">
        <v>53</v>
      </c>
      <c r="I39" s="3">
        <v>69</v>
      </c>
      <c r="J39" s="3">
        <v>71</v>
      </c>
      <c r="K39" s="3">
        <v>92</v>
      </c>
      <c r="L39" s="6">
        <v>353</v>
      </c>
      <c r="M39" s="1">
        <v>0.71</v>
      </c>
      <c r="N39" t="str">
        <f t="shared" si="2"/>
        <v>B</v>
      </c>
      <c r="O39" t="str">
        <f t="shared" si="3"/>
        <v>PASS</v>
      </c>
    </row>
    <row r="40" spans="1:15" x14ac:dyDescent="0.25">
      <c r="A40" t="s">
        <v>107</v>
      </c>
      <c r="B40" t="s">
        <v>108</v>
      </c>
      <c r="C40" t="s">
        <v>25</v>
      </c>
      <c r="D40">
        <v>19</v>
      </c>
      <c r="E40">
        <v>10</v>
      </c>
      <c r="F40" s="4">
        <v>0.56999999999999995</v>
      </c>
      <c r="G40" s="3">
        <v>77</v>
      </c>
      <c r="H40" s="3">
        <v>41</v>
      </c>
      <c r="I40" s="3">
        <v>39</v>
      </c>
      <c r="J40" s="3">
        <v>22</v>
      </c>
      <c r="K40" s="3">
        <v>50</v>
      </c>
      <c r="L40" s="6">
        <v>229</v>
      </c>
      <c r="M40" s="1">
        <v>0.46</v>
      </c>
      <c r="N40" t="str">
        <f t="shared" si="2"/>
        <v>D</v>
      </c>
      <c r="O40" t="str">
        <f t="shared" si="3"/>
        <v>PASS</v>
      </c>
    </row>
    <row r="41" spans="1:15" x14ac:dyDescent="0.25">
      <c r="A41" t="s">
        <v>109</v>
      </c>
      <c r="B41" t="s">
        <v>110</v>
      </c>
      <c r="C41" t="s">
        <v>25</v>
      </c>
      <c r="D41">
        <v>18</v>
      </c>
      <c r="E41">
        <v>10</v>
      </c>
      <c r="F41" s="4">
        <v>0.73</v>
      </c>
      <c r="G41" s="3">
        <v>75</v>
      </c>
      <c r="H41" s="3">
        <v>42</v>
      </c>
      <c r="I41" s="3">
        <v>56</v>
      </c>
      <c r="J41" s="3">
        <v>74</v>
      </c>
      <c r="K41" s="3">
        <v>49</v>
      </c>
      <c r="L41" s="6">
        <v>296</v>
      </c>
      <c r="M41" s="1">
        <v>0.59</v>
      </c>
      <c r="N41" t="str">
        <f t="shared" si="2"/>
        <v>D</v>
      </c>
      <c r="O41" t="str">
        <f t="shared" si="3"/>
        <v>PASS</v>
      </c>
    </row>
    <row r="42" spans="1:15" x14ac:dyDescent="0.25">
      <c r="A42" t="s">
        <v>111</v>
      </c>
      <c r="B42" t="s">
        <v>112</v>
      </c>
      <c r="C42" t="s">
        <v>113</v>
      </c>
      <c r="D42">
        <v>18</v>
      </c>
      <c r="E42">
        <v>21</v>
      </c>
      <c r="F42" s="4">
        <v>0.91</v>
      </c>
      <c r="G42" s="3">
        <v>50</v>
      </c>
      <c r="H42" s="3">
        <v>76</v>
      </c>
      <c r="I42" s="3">
        <v>44</v>
      </c>
      <c r="J42" s="3">
        <v>31</v>
      </c>
      <c r="K42" s="3">
        <v>73</v>
      </c>
      <c r="L42" s="6">
        <v>274</v>
      </c>
      <c r="M42" s="1">
        <v>0.55000000000000004</v>
      </c>
      <c r="N42" t="str">
        <f t="shared" si="2"/>
        <v>D</v>
      </c>
      <c r="O42" t="str">
        <f t="shared" si="3"/>
        <v>PASS</v>
      </c>
    </row>
    <row r="43" spans="1:15" x14ac:dyDescent="0.25">
      <c r="A43" t="s">
        <v>114</v>
      </c>
      <c r="B43" t="s">
        <v>115</v>
      </c>
      <c r="C43" t="s">
        <v>116</v>
      </c>
      <c r="D43">
        <v>19</v>
      </c>
      <c r="E43">
        <v>27</v>
      </c>
      <c r="F43" s="4">
        <v>0.96</v>
      </c>
      <c r="G43" s="3">
        <v>64</v>
      </c>
      <c r="H43" s="3">
        <v>77</v>
      </c>
      <c r="I43" s="3">
        <v>45</v>
      </c>
      <c r="J43" s="3">
        <v>39</v>
      </c>
      <c r="K43" s="3">
        <v>51</v>
      </c>
      <c r="L43" s="6">
        <v>276</v>
      </c>
      <c r="M43" s="1">
        <v>0.55000000000000004</v>
      </c>
      <c r="N43" t="str">
        <f t="shared" si="2"/>
        <v>D</v>
      </c>
      <c r="O43" t="str">
        <f t="shared" si="3"/>
        <v>PASS</v>
      </c>
    </row>
    <row r="44" spans="1:15" x14ac:dyDescent="0.25">
      <c r="A44" t="s">
        <v>117</v>
      </c>
      <c r="B44" t="s">
        <v>118</v>
      </c>
      <c r="C44" t="s">
        <v>119</v>
      </c>
      <c r="D44">
        <v>18</v>
      </c>
      <c r="E44">
        <v>19</v>
      </c>
      <c r="F44" s="4">
        <v>0.56999999999999995</v>
      </c>
      <c r="G44" s="3">
        <v>12</v>
      </c>
      <c r="H44" s="3">
        <v>34</v>
      </c>
      <c r="I44" s="3">
        <v>25</v>
      </c>
      <c r="J44" s="3">
        <v>28</v>
      </c>
      <c r="K44" s="3">
        <v>19</v>
      </c>
      <c r="L44" s="6">
        <v>118</v>
      </c>
      <c r="M44" s="1">
        <v>0.24</v>
      </c>
      <c r="N44" t="str">
        <f t="shared" si="2"/>
        <v>F</v>
      </c>
      <c r="O44" t="str">
        <f t="shared" si="3"/>
        <v>FAIL</v>
      </c>
    </row>
    <row r="45" spans="1:15" x14ac:dyDescent="0.25">
      <c r="A45" t="s">
        <v>120</v>
      </c>
      <c r="B45" t="s">
        <v>121</v>
      </c>
      <c r="C45" t="s">
        <v>2</v>
      </c>
      <c r="D45">
        <v>18</v>
      </c>
      <c r="E45">
        <v>29</v>
      </c>
      <c r="F45" s="4">
        <v>0.52</v>
      </c>
      <c r="G45" s="3">
        <v>88</v>
      </c>
      <c r="H45" s="3">
        <v>72</v>
      </c>
      <c r="I45" s="3">
        <v>69</v>
      </c>
      <c r="J45" s="3">
        <v>61</v>
      </c>
      <c r="K45" s="3">
        <v>78</v>
      </c>
      <c r="L45" s="6">
        <v>368</v>
      </c>
      <c r="M45" s="1">
        <v>0.74</v>
      </c>
      <c r="N45" t="str">
        <f t="shared" si="2"/>
        <v>B</v>
      </c>
      <c r="O45" t="str">
        <f t="shared" si="3"/>
        <v>PASS</v>
      </c>
    </row>
    <row r="46" spans="1:15" x14ac:dyDescent="0.25">
      <c r="A46" t="s">
        <v>122</v>
      </c>
      <c r="B46" t="s">
        <v>123</v>
      </c>
      <c r="C46" t="s">
        <v>124</v>
      </c>
      <c r="D46">
        <v>19</v>
      </c>
      <c r="E46">
        <v>4</v>
      </c>
      <c r="F46" s="4">
        <v>0.69</v>
      </c>
      <c r="G46" s="3">
        <v>21</v>
      </c>
      <c r="H46" s="3">
        <v>28</v>
      </c>
      <c r="I46" s="3">
        <v>38</v>
      </c>
      <c r="J46" s="3">
        <v>51</v>
      </c>
      <c r="K46" s="3">
        <v>10</v>
      </c>
      <c r="L46" s="6">
        <v>148</v>
      </c>
      <c r="M46" s="1">
        <v>0.3</v>
      </c>
      <c r="N46" t="str">
        <f t="shared" si="2"/>
        <v>F</v>
      </c>
      <c r="O46" t="str">
        <f t="shared" si="3"/>
        <v>FAIL</v>
      </c>
    </row>
    <row r="47" spans="1:15" x14ac:dyDescent="0.25">
      <c r="A47" t="s">
        <v>125</v>
      </c>
      <c r="B47" t="s">
        <v>126</v>
      </c>
      <c r="C47" t="s">
        <v>77</v>
      </c>
      <c r="D47">
        <v>19</v>
      </c>
      <c r="E47">
        <v>11</v>
      </c>
      <c r="F47" s="4">
        <v>0.82</v>
      </c>
      <c r="G47" s="3">
        <v>68</v>
      </c>
      <c r="H47" s="3">
        <v>45</v>
      </c>
      <c r="I47" s="3">
        <v>71</v>
      </c>
      <c r="J47" s="3">
        <v>52</v>
      </c>
      <c r="K47" s="3">
        <v>57</v>
      </c>
      <c r="L47" s="6">
        <v>293</v>
      </c>
      <c r="M47" s="1">
        <v>0.59</v>
      </c>
      <c r="N47" t="str">
        <f t="shared" si="2"/>
        <v>D</v>
      </c>
      <c r="O47" t="str">
        <f t="shared" si="3"/>
        <v>PASS</v>
      </c>
    </row>
    <row r="48" spans="1:15" x14ac:dyDescent="0.25">
      <c r="A48" t="s">
        <v>127</v>
      </c>
      <c r="B48" t="s">
        <v>128</v>
      </c>
      <c r="C48" t="s">
        <v>34</v>
      </c>
      <c r="D48">
        <v>19</v>
      </c>
      <c r="E48">
        <v>2</v>
      </c>
      <c r="F48" s="4">
        <v>0.56000000000000005</v>
      </c>
      <c r="G48" s="3">
        <v>48</v>
      </c>
      <c r="H48" s="3">
        <v>27</v>
      </c>
      <c r="I48" s="3">
        <v>40</v>
      </c>
      <c r="J48" s="3">
        <v>47</v>
      </c>
      <c r="K48" s="3">
        <v>64</v>
      </c>
      <c r="L48" s="6">
        <v>226</v>
      </c>
      <c r="M48" s="1">
        <v>0.45</v>
      </c>
      <c r="N48" t="str">
        <f t="shared" si="2"/>
        <v>D</v>
      </c>
      <c r="O48" t="str">
        <f t="shared" si="3"/>
        <v>PASS</v>
      </c>
    </row>
    <row r="49" spans="1:15" x14ac:dyDescent="0.25">
      <c r="A49" t="s">
        <v>129</v>
      </c>
      <c r="B49" t="s">
        <v>130</v>
      </c>
      <c r="C49" t="s">
        <v>8</v>
      </c>
      <c r="D49">
        <v>16</v>
      </c>
      <c r="E49">
        <v>27</v>
      </c>
      <c r="F49" s="4">
        <v>0.6</v>
      </c>
      <c r="G49" s="3">
        <v>90</v>
      </c>
      <c r="H49" s="3">
        <v>80</v>
      </c>
      <c r="I49" s="3">
        <v>79</v>
      </c>
      <c r="J49" s="3">
        <v>41</v>
      </c>
      <c r="K49" s="3">
        <v>61</v>
      </c>
      <c r="L49" s="6">
        <v>351</v>
      </c>
      <c r="M49" s="1">
        <v>0.7</v>
      </c>
      <c r="N49" t="str">
        <f t="shared" si="2"/>
        <v>B</v>
      </c>
      <c r="O49" t="str">
        <f t="shared" si="3"/>
        <v>PASS</v>
      </c>
    </row>
    <row r="50" spans="1:15" x14ac:dyDescent="0.25">
      <c r="A50" t="s">
        <v>131</v>
      </c>
      <c r="B50" t="s">
        <v>132</v>
      </c>
      <c r="C50" t="s">
        <v>77</v>
      </c>
      <c r="D50">
        <v>19</v>
      </c>
      <c r="E50">
        <v>8</v>
      </c>
      <c r="F50" s="4">
        <v>0.85</v>
      </c>
      <c r="G50" s="3">
        <v>40</v>
      </c>
      <c r="H50" s="3">
        <v>37</v>
      </c>
      <c r="I50" s="3">
        <v>57</v>
      </c>
      <c r="J50" s="3">
        <v>56</v>
      </c>
      <c r="K50" s="3">
        <v>68</v>
      </c>
      <c r="L50" s="6">
        <v>258</v>
      </c>
      <c r="M50" s="1">
        <v>0.52</v>
      </c>
      <c r="N50" t="str">
        <f t="shared" si="2"/>
        <v>D</v>
      </c>
      <c r="O50" t="str">
        <f t="shared" si="3"/>
        <v>PASS</v>
      </c>
    </row>
    <row r="51" spans="1:15" x14ac:dyDescent="0.25">
      <c r="A51" t="s">
        <v>133</v>
      </c>
      <c r="B51" t="s">
        <v>134</v>
      </c>
      <c r="C51" t="s">
        <v>2</v>
      </c>
      <c r="D51">
        <v>15</v>
      </c>
      <c r="E51">
        <v>10</v>
      </c>
      <c r="F51" s="4">
        <v>0.94</v>
      </c>
      <c r="G51" s="3">
        <v>73</v>
      </c>
      <c r="H51" s="3">
        <v>42</v>
      </c>
      <c r="I51" s="3">
        <v>74</v>
      </c>
      <c r="J51" s="3">
        <v>60</v>
      </c>
      <c r="K51" s="3">
        <v>51</v>
      </c>
      <c r="L51" s="6">
        <v>300</v>
      </c>
      <c r="M51" s="1">
        <v>0.6</v>
      </c>
      <c r="N51" t="str">
        <f t="shared" si="2"/>
        <v>C</v>
      </c>
      <c r="O51" t="str">
        <f t="shared" si="3"/>
        <v>PASS</v>
      </c>
    </row>
    <row r="52" spans="1:15" x14ac:dyDescent="0.25">
      <c r="A52" t="s">
        <v>135</v>
      </c>
      <c r="B52" t="s">
        <v>136</v>
      </c>
      <c r="C52" t="s">
        <v>57</v>
      </c>
      <c r="D52">
        <v>15</v>
      </c>
      <c r="E52">
        <v>29</v>
      </c>
      <c r="F52" s="4">
        <v>0.67</v>
      </c>
      <c r="G52" s="3">
        <v>92</v>
      </c>
      <c r="H52" s="3">
        <v>72</v>
      </c>
      <c r="I52" s="3">
        <v>38</v>
      </c>
      <c r="J52" s="3">
        <v>34</v>
      </c>
      <c r="K52" s="3">
        <v>93</v>
      </c>
      <c r="L52" s="6">
        <v>329</v>
      </c>
      <c r="M52" s="1">
        <v>0.66</v>
      </c>
      <c r="N52" t="str">
        <f t="shared" si="2"/>
        <v>C</v>
      </c>
      <c r="O52" t="str">
        <f t="shared" si="3"/>
        <v>PASS</v>
      </c>
    </row>
    <row r="53" spans="1:15" x14ac:dyDescent="0.25">
      <c r="A53" t="s">
        <v>137</v>
      </c>
      <c r="B53" t="s">
        <v>138</v>
      </c>
      <c r="C53" t="s">
        <v>139</v>
      </c>
      <c r="D53">
        <v>17</v>
      </c>
      <c r="E53">
        <v>26</v>
      </c>
      <c r="F53" s="4">
        <v>0.98</v>
      </c>
      <c r="G53" s="3">
        <v>90</v>
      </c>
      <c r="H53" s="3">
        <v>71</v>
      </c>
      <c r="I53" s="3">
        <v>84</v>
      </c>
      <c r="J53" s="3">
        <v>62</v>
      </c>
      <c r="K53" s="3">
        <v>47</v>
      </c>
      <c r="L53" s="6">
        <v>354</v>
      </c>
      <c r="M53" s="1">
        <v>0.71</v>
      </c>
      <c r="N53" t="str">
        <f t="shared" si="2"/>
        <v>B</v>
      </c>
      <c r="O53" t="str">
        <f t="shared" si="3"/>
        <v>PASS</v>
      </c>
    </row>
    <row r="54" spans="1:15" x14ac:dyDescent="0.25">
      <c r="A54" t="s">
        <v>140</v>
      </c>
      <c r="B54" t="s">
        <v>141</v>
      </c>
      <c r="C54" t="s">
        <v>124</v>
      </c>
      <c r="D54">
        <v>19</v>
      </c>
      <c r="E54">
        <v>28</v>
      </c>
      <c r="F54" s="4">
        <v>0.99</v>
      </c>
      <c r="G54" s="3">
        <v>36</v>
      </c>
      <c r="H54" s="3">
        <v>70</v>
      </c>
      <c r="I54" s="3">
        <v>44</v>
      </c>
      <c r="J54" s="3">
        <v>45</v>
      </c>
      <c r="K54" s="3">
        <v>37</v>
      </c>
      <c r="L54" s="6">
        <v>232</v>
      </c>
      <c r="M54" s="1">
        <v>0.46</v>
      </c>
      <c r="N54" t="str">
        <f t="shared" si="2"/>
        <v>D</v>
      </c>
      <c r="O54" t="str">
        <f t="shared" si="3"/>
        <v>PASS</v>
      </c>
    </row>
    <row r="55" spans="1:15" x14ac:dyDescent="0.25">
      <c r="A55" t="s">
        <v>142</v>
      </c>
      <c r="B55" t="s">
        <v>143</v>
      </c>
      <c r="C55" t="s">
        <v>40</v>
      </c>
      <c r="D55">
        <v>15</v>
      </c>
      <c r="E55">
        <v>28</v>
      </c>
      <c r="F55" s="4">
        <v>0.53</v>
      </c>
      <c r="G55" s="3">
        <v>49</v>
      </c>
      <c r="H55" s="3">
        <v>56</v>
      </c>
      <c r="I55" s="3">
        <v>61</v>
      </c>
      <c r="J55" s="3">
        <v>91</v>
      </c>
      <c r="K55" s="3">
        <v>91</v>
      </c>
      <c r="L55" s="6">
        <v>348</v>
      </c>
      <c r="M55" s="1">
        <v>0.7</v>
      </c>
      <c r="N55" t="str">
        <f t="shared" si="2"/>
        <v>B</v>
      </c>
      <c r="O55" t="str">
        <f t="shared" si="3"/>
        <v>PASS</v>
      </c>
    </row>
    <row r="56" spans="1:15" x14ac:dyDescent="0.25">
      <c r="A56" t="s">
        <v>144</v>
      </c>
      <c r="B56" t="s">
        <v>145</v>
      </c>
      <c r="C56" t="s">
        <v>146</v>
      </c>
      <c r="D56">
        <v>17</v>
      </c>
      <c r="E56">
        <v>7</v>
      </c>
      <c r="F56" s="4">
        <v>1</v>
      </c>
      <c r="G56" s="3">
        <v>90</v>
      </c>
      <c r="H56" s="3">
        <v>54</v>
      </c>
      <c r="I56" s="3">
        <v>55</v>
      </c>
      <c r="J56" s="3">
        <v>61</v>
      </c>
      <c r="K56" s="3">
        <v>84</v>
      </c>
      <c r="L56" s="6">
        <v>344</v>
      </c>
      <c r="M56" s="1">
        <v>0.69</v>
      </c>
      <c r="N56" t="str">
        <f t="shared" si="2"/>
        <v>C</v>
      </c>
      <c r="O56" t="str">
        <f t="shared" si="3"/>
        <v>PASS</v>
      </c>
    </row>
    <row r="57" spans="1:15" x14ac:dyDescent="0.25">
      <c r="A57" t="s">
        <v>147</v>
      </c>
      <c r="B57" t="s">
        <v>148</v>
      </c>
      <c r="C57" t="s">
        <v>149</v>
      </c>
      <c r="D57">
        <v>19</v>
      </c>
      <c r="E57">
        <v>20</v>
      </c>
      <c r="F57" s="4">
        <v>0.74</v>
      </c>
      <c r="G57" s="3">
        <v>42</v>
      </c>
      <c r="H57" s="3">
        <v>48</v>
      </c>
      <c r="I57" s="3">
        <v>73</v>
      </c>
      <c r="J57" s="3">
        <v>65</v>
      </c>
      <c r="K57" s="3">
        <v>75</v>
      </c>
      <c r="L57" s="6">
        <v>303</v>
      </c>
      <c r="M57" s="1">
        <v>0.61</v>
      </c>
      <c r="N57" t="str">
        <f t="shared" si="2"/>
        <v>C</v>
      </c>
      <c r="O57" t="str">
        <f t="shared" si="3"/>
        <v>PASS</v>
      </c>
    </row>
    <row r="58" spans="1:15" x14ac:dyDescent="0.25">
      <c r="A58" t="s">
        <v>150</v>
      </c>
      <c r="B58" t="s">
        <v>151</v>
      </c>
      <c r="C58" t="s">
        <v>152</v>
      </c>
      <c r="D58">
        <v>15</v>
      </c>
      <c r="E58">
        <v>3</v>
      </c>
      <c r="F58" s="4">
        <v>0.66</v>
      </c>
      <c r="G58" s="3">
        <v>77</v>
      </c>
      <c r="H58" s="3">
        <v>37</v>
      </c>
      <c r="I58" s="3">
        <v>68</v>
      </c>
      <c r="J58" s="3">
        <v>56</v>
      </c>
      <c r="K58" s="3">
        <v>85</v>
      </c>
      <c r="L58" s="6">
        <v>323</v>
      </c>
      <c r="M58" s="1">
        <v>0.65</v>
      </c>
      <c r="N58" t="str">
        <f t="shared" si="2"/>
        <v>C</v>
      </c>
      <c r="O58" t="str">
        <f t="shared" si="3"/>
        <v>PASS</v>
      </c>
    </row>
    <row r="59" spans="1:15" x14ac:dyDescent="0.25">
      <c r="A59" t="s">
        <v>153</v>
      </c>
      <c r="B59" t="s">
        <v>154</v>
      </c>
      <c r="C59" t="s">
        <v>155</v>
      </c>
      <c r="D59">
        <v>17</v>
      </c>
      <c r="E59">
        <v>18</v>
      </c>
      <c r="F59" s="4">
        <v>0.94</v>
      </c>
      <c r="G59" s="3">
        <v>69</v>
      </c>
      <c r="H59" s="3">
        <v>65</v>
      </c>
      <c r="I59" s="3">
        <v>75</v>
      </c>
      <c r="J59" s="3">
        <v>75</v>
      </c>
      <c r="K59" s="3">
        <v>69</v>
      </c>
      <c r="L59" s="6">
        <v>353</v>
      </c>
      <c r="M59" s="1">
        <v>0.71</v>
      </c>
      <c r="N59" t="str">
        <f t="shared" si="2"/>
        <v>B</v>
      </c>
      <c r="O59" t="str">
        <f t="shared" si="3"/>
        <v>PASS</v>
      </c>
    </row>
    <row r="60" spans="1:15" x14ac:dyDescent="0.25">
      <c r="A60" t="s">
        <v>156</v>
      </c>
      <c r="B60" t="s">
        <v>157</v>
      </c>
      <c r="C60" t="s">
        <v>158</v>
      </c>
      <c r="D60">
        <v>18</v>
      </c>
      <c r="E60">
        <v>10</v>
      </c>
      <c r="F60" s="4">
        <v>0.88</v>
      </c>
      <c r="G60" s="3">
        <v>65</v>
      </c>
      <c r="H60" s="3">
        <v>53</v>
      </c>
      <c r="I60" s="3">
        <v>30</v>
      </c>
      <c r="J60" s="3">
        <v>58</v>
      </c>
      <c r="K60" s="3">
        <v>70</v>
      </c>
      <c r="L60" s="6">
        <v>276</v>
      </c>
      <c r="M60" s="1">
        <v>0.55000000000000004</v>
      </c>
      <c r="N60" t="str">
        <f t="shared" si="2"/>
        <v>D</v>
      </c>
      <c r="O60" t="str">
        <f t="shared" si="3"/>
        <v>PASS</v>
      </c>
    </row>
    <row r="61" spans="1:15" x14ac:dyDescent="0.25">
      <c r="A61" t="s">
        <v>159</v>
      </c>
      <c r="B61" t="s">
        <v>160</v>
      </c>
      <c r="C61" t="s">
        <v>152</v>
      </c>
      <c r="D61">
        <v>16</v>
      </c>
      <c r="E61">
        <v>8</v>
      </c>
      <c r="F61" s="4">
        <v>0.65</v>
      </c>
      <c r="G61" s="3">
        <v>37</v>
      </c>
      <c r="H61" s="3">
        <v>24</v>
      </c>
      <c r="I61" s="3">
        <v>35</v>
      </c>
      <c r="J61" s="3">
        <v>61</v>
      </c>
      <c r="K61" s="3">
        <v>88</v>
      </c>
      <c r="L61" s="6">
        <v>245</v>
      </c>
      <c r="M61" s="1">
        <v>0.49</v>
      </c>
      <c r="N61" t="str">
        <f t="shared" si="2"/>
        <v>D</v>
      </c>
      <c r="O61" t="str">
        <f t="shared" si="3"/>
        <v>PASS</v>
      </c>
    </row>
    <row r="62" spans="1:15" x14ac:dyDescent="0.25">
      <c r="A62" t="s">
        <v>161</v>
      </c>
      <c r="B62" t="s">
        <v>162</v>
      </c>
      <c r="C62" t="s">
        <v>163</v>
      </c>
      <c r="D62">
        <v>19</v>
      </c>
      <c r="E62">
        <v>2</v>
      </c>
      <c r="F62" s="4">
        <v>0.76</v>
      </c>
      <c r="G62" s="3">
        <v>32</v>
      </c>
      <c r="H62" s="3">
        <v>22</v>
      </c>
      <c r="I62" s="3">
        <v>25</v>
      </c>
      <c r="J62" s="3">
        <v>36</v>
      </c>
      <c r="K62" s="3">
        <v>26</v>
      </c>
      <c r="L62" s="6">
        <v>141</v>
      </c>
      <c r="M62" s="1">
        <v>0.28000000000000003</v>
      </c>
      <c r="N62" t="str">
        <f t="shared" si="2"/>
        <v>F</v>
      </c>
      <c r="O62" t="str">
        <f t="shared" si="3"/>
        <v>FAIL</v>
      </c>
    </row>
    <row r="63" spans="1:15" x14ac:dyDescent="0.25">
      <c r="A63" t="s">
        <v>164</v>
      </c>
      <c r="B63" t="s">
        <v>165</v>
      </c>
      <c r="C63" t="s">
        <v>139</v>
      </c>
      <c r="D63">
        <v>17</v>
      </c>
      <c r="E63">
        <v>8</v>
      </c>
      <c r="F63" s="4">
        <v>0.84</v>
      </c>
      <c r="G63" s="3">
        <v>80</v>
      </c>
      <c r="H63" s="3">
        <v>42</v>
      </c>
      <c r="I63" s="3">
        <v>69</v>
      </c>
      <c r="J63" s="3">
        <v>68</v>
      </c>
      <c r="K63" s="3">
        <v>57</v>
      </c>
      <c r="L63" s="6">
        <v>316</v>
      </c>
      <c r="M63" s="1">
        <v>0.63</v>
      </c>
      <c r="N63" t="str">
        <f t="shared" si="2"/>
        <v>C</v>
      </c>
      <c r="O63" t="str">
        <f t="shared" si="3"/>
        <v>PASS</v>
      </c>
    </row>
    <row r="64" spans="1:15" x14ac:dyDescent="0.25">
      <c r="A64" t="s">
        <v>166</v>
      </c>
      <c r="B64" t="s">
        <v>167</v>
      </c>
      <c r="C64" t="s">
        <v>168</v>
      </c>
      <c r="D64">
        <v>16</v>
      </c>
      <c r="E64">
        <v>22</v>
      </c>
      <c r="F64" s="4">
        <v>0.84</v>
      </c>
      <c r="G64" s="3">
        <v>52</v>
      </c>
      <c r="H64" s="3">
        <v>78</v>
      </c>
      <c r="I64" s="3">
        <v>40</v>
      </c>
      <c r="J64" s="3">
        <v>56</v>
      </c>
      <c r="K64" s="3">
        <v>77</v>
      </c>
      <c r="L64" s="6">
        <v>303</v>
      </c>
      <c r="M64" s="1">
        <v>0.61</v>
      </c>
      <c r="N64" t="str">
        <f t="shared" si="2"/>
        <v>C</v>
      </c>
      <c r="O64" t="str">
        <f t="shared" si="3"/>
        <v>PASS</v>
      </c>
    </row>
    <row r="65" spans="1:15" x14ac:dyDescent="0.25">
      <c r="A65" t="s">
        <v>169</v>
      </c>
      <c r="B65" t="s">
        <v>170</v>
      </c>
      <c r="C65" t="s">
        <v>171</v>
      </c>
      <c r="D65">
        <v>18</v>
      </c>
      <c r="E65">
        <v>23</v>
      </c>
      <c r="F65" s="4">
        <v>0.9</v>
      </c>
      <c r="G65" s="3">
        <v>46</v>
      </c>
      <c r="H65" s="3">
        <v>71</v>
      </c>
      <c r="I65" s="3">
        <v>43</v>
      </c>
      <c r="J65" s="3">
        <v>52</v>
      </c>
      <c r="K65" s="3">
        <v>67</v>
      </c>
      <c r="L65" s="6">
        <v>279</v>
      </c>
      <c r="M65" s="1">
        <v>0.56000000000000005</v>
      </c>
      <c r="N65" t="str">
        <f t="shared" si="2"/>
        <v>D</v>
      </c>
      <c r="O65" t="str">
        <f t="shared" si="3"/>
        <v>PASS</v>
      </c>
    </row>
    <row r="66" spans="1:15" x14ac:dyDescent="0.25">
      <c r="A66" t="s">
        <v>172</v>
      </c>
      <c r="B66" t="s">
        <v>173</v>
      </c>
      <c r="C66" t="s">
        <v>17</v>
      </c>
      <c r="D66">
        <v>17</v>
      </c>
      <c r="E66">
        <v>20</v>
      </c>
      <c r="F66" s="4">
        <v>0.84</v>
      </c>
      <c r="G66" s="3">
        <v>39</v>
      </c>
      <c r="H66" s="3">
        <v>65</v>
      </c>
      <c r="I66" s="3">
        <v>38</v>
      </c>
      <c r="J66" s="3">
        <v>36</v>
      </c>
      <c r="K66" s="3">
        <v>34</v>
      </c>
      <c r="L66" s="6">
        <v>212</v>
      </c>
      <c r="M66" s="1">
        <v>0.42</v>
      </c>
      <c r="N66" t="str">
        <f t="shared" si="2"/>
        <v>D</v>
      </c>
      <c r="O66" t="str">
        <f t="shared" si="3"/>
        <v>PASS</v>
      </c>
    </row>
    <row r="67" spans="1:15" x14ac:dyDescent="0.25">
      <c r="A67" t="s">
        <v>174</v>
      </c>
      <c r="B67" t="s">
        <v>175</v>
      </c>
      <c r="C67" t="s">
        <v>176</v>
      </c>
      <c r="D67">
        <v>17</v>
      </c>
      <c r="E67">
        <v>30</v>
      </c>
      <c r="F67" s="4">
        <v>0.99</v>
      </c>
      <c r="G67" s="3">
        <v>60</v>
      </c>
      <c r="H67" s="3">
        <v>89</v>
      </c>
      <c r="I67" s="3">
        <v>40</v>
      </c>
      <c r="J67" s="3">
        <v>29</v>
      </c>
      <c r="K67" s="3">
        <v>56</v>
      </c>
      <c r="L67" s="6">
        <v>274</v>
      </c>
      <c r="M67" s="1">
        <v>0.55000000000000004</v>
      </c>
      <c r="N67" t="str">
        <f t="shared" ref="N67:N98" si="4">IF(M67&gt;=90%, "A", IF(M67&gt;=70%, "B", IF(M67&gt;=60%, "C", IF(M67&gt;=35%, "D", "F"))))</f>
        <v>D</v>
      </c>
      <c r="O67" t="str">
        <f t="shared" ref="O67:O98" si="5">IF(M67&gt;=35%, "PASS","FAIL")</f>
        <v>PASS</v>
      </c>
    </row>
    <row r="68" spans="1:15" x14ac:dyDescent="0.25">
      <c r="A68" t="s">
        <v>177</v>
      </c>
      <c r="B68" t="s">
        <v>178</v>
      </c>
      <c r="C68" t="s">
        <v>179</v>
      </c>
      <c r="D68">
        <v>15</v>
      </c>
      <c r="E68">
        <v>26</v>
      </c>
      <c r="F68" s="4">
        <v>0.92</v>
      </c>
      <c r="G68" s="3">
        <v>91</v>
      </c>
      <c r="H68" s="3">
        <v>75</v>
      </c>
      <c r="I68" s="3">
        <v>47</v>
      </c>
      <c r="J68" s="3">
        <v>65</v>
      </c>
      <c r="K68" s="3">
        <v>94</v>
      </c>
      <c r="L68" s="6">
        <v>372</v>
      </c>
      <c r="M68" s="1">
        <v>0.74</v>
      </c>
      <c r="N68" t="str">
        <f t="shared" si="4"/>
        <v>B</v>
      </c>
      <c r="O68" t="str">
        <f t="shared" si="5"/>
        <v>PASS</v>
      </c>
    </row>
    <row r="69" spans="1:15" x14ac:dyDescent="0.25">
      <c r="A69" t="s">
        <v>180</v>
      </c>
      <c r="B69" t="s">
        <v>181</v>
      </c>
      <c r="C69" t="s">
        <v>182</v>
      </c>
      <c r="D69">
        <v>18</v>
      </c>
      <c r="E69">
        <v>28</v>
      </c>
      <c r="F69" s="4">
        <v>0.77</v>
      </c>
      <c r="G69" s="3">
        <v>43</v>
      </c>
      <c r="H69" s="3">
        <v>62</v>
      </c>
      <c r="I69" s="3">
        <v>70</v>
      </c>
      <c r="J69" s="3">
        <v>65</v>
      </c>
      <c r="K69" s="3">
        <v>47</v>
      </c>
      <c r="L69" s="6">
        <v>287</v>
      </c>
      <c r="M69" s="1">
        <v>0.56999999999999995</v>
      </c>
      <c r="N69" t="str">
        <f t="shared" si="4"/>
        <v>D</v>
      </c>
      <c r="O69" t="str">
        <f t="shared" si="5"/>
        <v>PASS</v>
      </c>
    </row>
    <row r="70" spans="1:15" x14ac:dyDescent="0.25">
      <c r="A70" t="s">
        <v>183</v>
      </c>
      <c r="B70" t="s">
        <v>184</v>
      </c>
      <c r="C70" t="s">
        <v>185</v>
      </c>
      <c r="D70">
        <v>17</v>
      </c>
      <c r="E70">
        <v>22</v>
      </c>
      <c r="F70" s="4">
        <v>0.76</v>
      </c>
      <c r="G70" s="3">
        <v>44</v>
      </c>
      <c r="H70" s="3">
        <v>57</v>
      </c>
      <c r="I70" s="3">
        <v>54</v>
      </c>
      <c r="J70" s="3">
        <v>37</v>
      </c>
      <c r="K70" s="3">
        <v>93</v>
      </c>
      <c r="L70" s="6">
        <v>285</v>
      </c>
      <c r="M70" s="1">
        <v>0.56999999999999995</v>
      </c>
      <c r="N70" t="str">
        <f t="shared" si="4"/>
        <v>D</v>
      </c>
      <c r="O70" t="str">
        <f t="shared" si="5"/>
        <v>PASS</v>
      </c>
    </row>
    <row r="71" spans="1:15" x14ac:dyDescent="0.25">
      <c r="A71" t="s">
        <v>186</v>
      </c>
      <c r="B71" t="s">
        <v>187</v>
      </c>
      <c r="C71" t="s">
        <v>14</v>
      </c>
      <c r="D71">
        <v>15</v>
      </c>
      <c r="E71">
        <v>24</v>
      </c>
      <c r="F71" s="4">
        <v>0.89</v>
      </c>
      <c r="G71" s="3">
        <v>23</v>
      </c>
      <c r="H71" s="3">
        <v>33</v>
      </c>
      <c r="I71" s="3">
        <v>14</v>
      </c>
      <c r="J71" s="3">
        <v>6</v>
      </c>
      <c r="K71" s="3">
        <v>44</v>
      </c>
      <c r="L71" s="6">
        <v>120</v>
      </c>
      <c r="M71" s="1">
        <v>0.24</v>
      </c>
      <c r="N71" t="str">
        <f t="shared" si="4"/>
        <v>F</v>
      </c>
      <c r="O71" t="str">
        <f t="shared" si="5"/>
        <v>FAIL</v>
      </c>
    </row>
    <row r="72" spans="1:15" x14ac:dyDescent="0.25">
      <c r="A72" t="s">
        <v>188</v>
      </c>
      <c r="B72" t="s">
        <v>189</v>
      </c>
      <c r="C72" t="s">
        <v>176</v>
      </c>
      <c r="D72">
        <v>18</v>
      </c>
      <c r="E72">
        <v>2</v>
      </c>
      <c r="F72" s="4">
        <v>0.59</v>
      </c>
      <c r="G72" s="3">
        <v>64</v>
      </c>
      <c r="H72" s="3">
        <v>23</v>
      </c>
      <c r="I72" s="3">
        <v>40</v>
      </c>
      <c r="J72" s="3">
        <v>66</v>
      </c>
      <c r="K72" s="3">
        <v>79</v>
      </c>
      <c r="L72" s="6">
        <v>272</v>
      </c>
      <c r="M72" s="1">
        <v>0.54</v>
      </c>
      <c r="N72" t="str">
        <f t="shared" si="4"/>
        <v>D</v>
      </c>
      <c r="O72" t="str">
        <f t="shared" si="5"/>
        <v>PASS</v>
      </c>
    </row>
    <row r="73" spans="1:15" x14ac:dyDescent="0.25">
      <c r="A73" t="s">
        <v>190</v>
      </c>
      <c r="B73" t="s">
        <v>191</v>
      </c>
      <c r="C73" t="s">
        <v>192</v>
      </c>
      <c r="D73">
        <v>17</v>
      </c>
      <c r="E73">
        <v>9</v>
      </c>
      <c r="F73" s="4">
        <v>0.64</v>
      </c>
      <c r="G73" s="3">
        <v>49</v>
      </c>
      <c r="H73" s="3">
        <v>34</v>
      </c>
      <c r="I73" s="3">
        <v>94</v>
      </c>
      <c r="J73" s="3">
        <v>80</v>
      </c>
      <c r="K73" s="3">
        <v>51</v>
      </c>
      <c r="L73" s="6">
        <v>308</v>
      </c>
      <c r="M73" s="1">
        <v>0.62</v>
      </c>
      <c r="N73" t="str">
        <f t="shared" si="4"/>
        <v>C</v>
      </c>
      <c r="O73" t="str">
        <f t="shared" si="5"/>
        <v>PASS</v>
      </c>
    </row>
    <row r="74" spans="1:15" x14ac:dyDescent="0.25">
      <c r="A74" t="s">
        <v>193</v>
      </c>
      <c r="B74" t="s">
        <v>194</v>
      </c>
      <c r="C74" t="s">
        <v>14</v>
      </c>
      <c r="D74">
        <v>15</v>
      </c>
      <c r="E74">
        <v>20</v>
      </c>
      <c r="F74" s="4">
        <v>0.68</v>
      </c>
      <c r="G74" s="3">
        <v>71</v>
      </c>
      <c r="H74" s="3">
        <v>72</v>
      </c>
      <c r="I74" s="3">
        <v>90</v>
      </c>
      <c r="J74" s="3">
        <v>77</v>
      </c>
      <c r="K74" s="3">
        <v>55</v>
      </c>
      <c r="L74" s="6">
        <v>365</v>
      </c>
      <c r="M74" s="1">
        <v>0.73</v>
      </c>
      <c r="N74" t="str">
        <f t="shared" si="4"/>
        <v>B</v>
      </c>
      <c r="O74" t="str">
        <f t="shared" si="5"/>
        <v>PASS</v>
      </c>
    </row>
    <row r="75" spans="1:15" x14ac:dyDescent="0.25">
      <c r="A75" t="s">
        <v>195</v>
      </c>
      <c r="B75" t="s">
        <v>196</v>
      </c>
      <c r="C75" t="s">
        <v>40</v>
      </c>
      <c r="D75">
        <v>16</v>
      </c>
      <c r="E75">
        <v>13</v>
      </c>
      <c r="F75" s="4">
        <v>0.88</v>
      </c>
      <c r="G75" s="3">
        <v>92</v>
      </c>
      <c r="H75" s="3">
        <v>49</v>
      </c>
      <c r="I75" s="3">
        <v>84</v>
      </c>
      <c r="J75" s="3">
        <v>75</v>
      </c>
      <c r="K75" s="3">
        <v>64</v>
      </c>
      <c r="L75" s="6">
        <v>364</v>
      </c>
      <c r="M75" s="1">
        <v>0.73</v>
      </c>
      <c r="N75" t="str">
        <f t="shared" si="4"/>
        <v>B</v>
      </c>
      <c r="O75" t="str">
        <f t="shared" si="5"/>
        <v>PASS</v>
      </c>
    </row>
    <row r="76" spans="1:15" x14ac:dyDescent="0.25">
      <c r="A76" t="s">
        <v>197</v>
      </c>
      <c r="B76" t="s">
        <v>198</v>
      </c>
      <c r="C76" t="s">
        <v>124</v>
      </c>
      <c r="D76">
        <v>17</v>
      </c>
      <c r="E76">
        <v>26</v>
      </c>
      <c r="F76" s="4">
        <v>0.7</v>
      </c>
      <c r="G76" s="3">
        <v>58</v>
      </c>
      <c r="H76" s="3">
        <v>64</v>
      </c>
      <c r="I76" s="3">
        <v>47</v>
      </c>
      <c r="J76" s="3">
        <v>65</v>
      </c>
      <c r="K76" s="3">
        <v>43</v>
      </c>
      <c r="L76" s="6">
        <v>277</v>
      </c>
      <c r="M76" s="1">
        <v>0.55000000000000004</v>
      </c>
      <c r="N76" t="str">
        <f t="shared" si="4"/>
        <v>D</v>
      </c>
      <c r="O76" t="str">
        <f t="shared" si="5"/>
        <v>PASS</v>
      </c>
    </row>
    <row r="77" spans="1:15" x14ac:dyDescent="0.25">
      <c r="A77" t="s">
        <v>199</v>
      </c>
      <c r="B77" t="s">
        <v>200</v>
      </c>
      <c r="C77" t="s">
        <v>201</v>
      </c>
      <c r="D77">
        <v>18</v>
      </c>
      <c r="E77">
        <v>24</v>
      </c>
      <c r="F77" s="4">
        <v>0.8</v>
      </c>
      <c r="G77" s="3">
        <v>66</v>
      </c>
      <c r="H77" s="3">
        <v>80</v>
      </c>
      <c r="I77" s="3">
        <v>50</v>
      </c>
      <c r="J77" s="3">
        <v>28</v>
      </c>
      <c r="K77" s="3">
        <v>57</v>
      </c>
      <c r="L77" s="6">
        <v>281</v>
      </c>
      <c r="M77" s="1">
        <v>0.56000000000000005</v>
      </c>
      <c r="N77" t="str">
        <f t="shared" si="4"/>
        <v>D</v>
      </c>
      <c r="O77" t="str">
        <f t="shared" si="5"/>
        <v>PASS</v>
      </c>
    </row>
    <row r="78" spans="1:15" x14ac:dyDescent="0.25">
      <c r="A78" t="s">
        <v>202</v>
      </c>
      <c r="B78" t="s">
        <v>203</v>
      </c>
      <c r="C78" t="s">
        <v>204</v>
      </c>
      <c r="D78">
        <v>16</v>
      </c>
      <c r="E78">
        <v>10</v>
      </c>
      <c r="F78" s="4">
        <v>0.56999999999999995</v>
      </c>
      <c r="G78" s="3">
        <v>12</v>
      </c>
      <c r="H78" s="3">
        <v>42</v>
      </c>
      <c r="I78" s="3">
        <v>23</v>
      </c>
      <c r="J78" s="3">
        <v>45</v>
      </c>
      <c r="K78" s="3">
        <v>13</v>
      </c>
      <c r="L78" s="6">
        <v>135</v>
      </c>
      <c r="M78" s="1">
        <v>0.27</v>
      </c>
      <c r="N78" t="str">
        <f t="shared" si="4"/>
        <v>F</v>
      </c>
      <c r="O78" t="str">
        <f t="shared" si="5"/>
        <v>FAIL</v>
      </c>
    </row>
    <row r="79" spans="1:15" x14ac:dyDescent="0.25">
      <c r="A79" t="s">
        <v>205</v>
      </c>
      <c r="B79" t="s">
        <v>206</v>
      </c>
      <c r="C79" t="s">
        <v>207</v>
      </c>
      <c r="D79">
        <v>16</v>
      </c>
      <c r="E79">
        <v>23</v>
      </c>
      <c r="F79" s="4">
        <v>0.54</v>
      </c>
      <c r="G79" s="3">
        <v>60</v>
      </c>
      <c r="H79" s="3">
        <v>68</v>
      </c>
      <c r="I79" s="3">
        <v>58</v>
      </c>
      <c r="J79" s="3">
        <v>63</v>
      </c>
      <c r="K79" s="3">
        <v>94</v>
      </c>
      <c r="L79" s="6">
        <v>343</v>
      </c>
      <c r="M79" s="1">
        <v>0.69</v>
      </c>
      <c r="N79" t="str">
        <f t="shared" si="4"/>
        <v>C</v>
      </c>
      <c r="O79" t="str">
        <f t="shared" si="5"/>
        <v>PASS</v>
      </c>
    </row>
    <row r="80" spans="1:15" x14ac:dyDescent="0.25">
      <c r="A80" t="s">
        <v>208</v>
      </c>
      <c r="B80" t="s">
        <v>209</v>
      </c>
      <c r="C80" t="s">
        <v>92</v>
      </c>
      <c r="D80">
        <v>19</v>
      </c>
      <c r="E80">
        <v>19</v>
      </c>
      <c r="F80" s="4">
        <v>0.62</v>
      </c>
      <c r="G80" s="3">
        <v>13</v>
      </c>
      <c r="H80" s="3">
        <v>14</v>
      </c>
      <c r="I80" s="3">
        <v>22</v>
      </c>
      <c r="J80" s="3">
        <v>27</v>
      </c>
      <c r="K80" s="3">
        <v>9</v>
      </c>
      <c r="L80" s="6">
        <v>85</v>
      </c>
      <c r="M80" s="1">
        <v>0.17</v>
      </c>
      <c r="N80" t="str">
        <f t="shared" si="4"/>
        <v>F</v>
      </c>
      <c r="O80" t="str">
        <f t="shared" si="5"/>
        <v>FAIL</v>
      </c>
    </row>
    <row r="81" spans="1:15" x14ac:dyDescent="0.25">
      <c r="A81" t="s">
        <v>210</v>
      </c>
      <c r="B81" t="s">
        <v>211</v>
      </c>
      <c r="C81" t="s">
        <v>40</v>
      </c>
      <c r="D81">
        <v>16</v>
      </c>
      <c r="E81">
        <v>25</v>
      </c>
      <c r="F81" s="4">
        <v>0.55000000000000004</v>
      </c>
      <c r="G81" s="3">
        <v>51</v>
      </c>
      <c r="H81" s="3">
        <v>71</v>
      </c>
      <c r="I81" s="3">
        <v>52</v>
      </c>
      <c r="J81" s="3">
        <v>32</v>
      </c>
      <c r="K81" s="3">
        <v>88</v>
      </c>
      <c r="L81" s="6">
        <v>294</v>
      </c>
      <c r="M81" s="1">
        <v>0.59</v>
      </c>
      <c r="N81" t="str">
        <f t="shared" si="4"/>
        <v>D</v>
      </c>
      <c r="O81" t="str">
        <f t="shared" si="5"/>
        <v>PASS</v>
      </c>
    </row>
    <row r="82" spans="1:15" x14ac:dyDescent="0.25">
      <c r="A82" t="s">
        <v>212</v>
      </c>
      <c r="B82" t="s">
        <v>213</v>
      </c>
      <c r="C82" t="s">
        <v>214</v>
      </c>
      <c r="D82">
        <v>19</v>
      </c>
      <c r="E82">
        <v>3</v>
      </c>
      <c r="F82" s="4">
        <v>0.73</v>
      </c>
      <c r="G82" s="3">
        <v>44</v>
      </c>
      <c r="H82" s="3">
        <v>44</v>
      </c>
      <c r="I82" s="3">
        <v>94</v>
      </c>
      <c r="J82" s="3">
        <v>71</v>
      </c>
      <c r="K82" s="3">
        <v>38</v>
      </c>
      <c r="L82" s="6">
        <v>291</v>
      </c>
      <c r="M82" s="1">
        <v>0.57999999999999996</v>
      </c>
      <c r="N82" t="str">
        <f t="shared" si="4"/>
        <v>D</v>
      </c>
      <c r="O82" t="str">
        <f t="shared" si="5"/>
        <v>PASS</v>
      </c>
    </row>
    <row r="83" spans="1:15" x14ac:dyDescent="0.25">
      <c r="A83" t="s">
        <v>215</v>
      </c>
      <c r="B83" t="s">
        <v>216</v>
      </c>
      <c r="C83" t="s">
        <v>171</v>
      </c>
      <c r="D83">
        <v>15</v>
      </c>
      <c r="E83">
        <v>25</v>
      </c>
      <c r="F83" s="4">
        <v>0.73</v>
      </c>
      <c r="G83" s="3">
        <v>67</v>
      </c>
      <c r="H83" s="3">
        <v>77</v>
      </c>
      <c r="I83" s="3">
        <v>77</v>
      </c>
      <c r="J83" s="3">
        <v>51</v>
      </c>
      <c r="K83" s="3">
        <v>45</v>
      </c>
      <c r="L83" s="6">
        <v>317</v>
      </c>
      <c r="M83" s="1">
        <v>0.63</v>
      </c>
      <c r="N83" t="str">
        <f t="shared" si="4"/>
        <v>C</v>
      </c>
      <c r="O83" t="str">
        <f t="shared" si="5"/>
        <v>PASS</v>
      </c>
    </row>
    <row r="84" spans="1:15" x14ac:dyDescent="0.25">
      <c r="A84" t="s">
        <v>217</v>
      </c>
      <c r="B84" t="s">
        <v>218</v>
      </c>
      <c r="C84" t="s">
        <v>219</v>
      </c>
      <c r="D84">
        <v>19</v>
      </c>
      <c r="E84">
        <v>11</v>
      </c>
      <c r="F84" s="4">
        <v>0.74</v>
      </c>
      <c r="G84" s="3">
        <v>36</v>
      </c>
      <c r="H84" s="3">
        <v>38</v>
      </c>
      <c r="I84" s="3">
        <v>83</v>
      </c>
      <c r="J84" s="3">
        <v>42</v>
      </c>
      <c r="K84" s="3">
        <v>69</v>
      </c>
      <c r="L84" s="6">
        <v>268</v>
      </c>
      <c r="M84" s="1">
        <v>0.54</v>
      </c>
      <c r="N84" t="str">
        <f t="shared" si="4"/>
        <v>D</v>
      </c>
      <c r="O84" t="str">
        <f t="shared" si="5"/>
        <v>PASS</v>
      </c>
    </row>
    <row r="85" spans="1:15" x14ac:dyDescent="0.25">
      <c r="A85" t="s">
        <v>220</v>
      </c>
      <c r="B85" t="s">
        <v>221</v>
      </c>
      <c r="C85" t="s">
        <v>2</v>
      </c>
      <c r="D85">
        <v>19</v>
      </c>
      <c r="E85">
        <v>14</v>
      </c>
      <c r="F85" s="4">
        <v>0.62</v>
      </c>
      <c r="G85" s="3">
        <v>90</v>
      </c>
      <c r="H85" s="3">
        <v>64</v>
      </c>
      <c r="I85" s="3">
        <v>62</v>
      </c>
      <c r="J85" s="3">
        <v>44</v>
      </c>
      <c r="K85" s="3">
        <v>89</v>
      </c>
      <c r="L85" s="6">
        <v>349</v>
      </c>
      <c r="M85" s="1">
        <v>0.7</v>
      </c>
      <c r="N85" t="str">
        <f t="shared" si="4"/>
        <v>B</v>
      </c>
      <c r="O85" t="str">
        <f t="shared" si="5"/>
        <v>PASS</v>
      </c>
    </row>
    <row r="86" spans="1:15" x14ac:dyDescent="0.25">
      <c r="A86" t="s">
        <v>222</v>
      </c>
      <c r="B86" t="s">
        <v>223</v>
      </c>
      <c r="C86" t="s">
        <v>224</v>
      </c>
      <c r="D86">
        <v>16</v>
      </c>
      <c r="E86">
        <v>24</v>
      </c>
      <c r="F86" s="4">
        <v>0.61</v>
      </c>
      <c r="G86" s="3">
        <v>89</v>
      </c>
      <c r="H86" s="3">
        <v>70</v>
      </c>
      <c r="I86" s="3">
        <v>32</v>
      </c>
      <c r="J86" s="3">
        <v>67</v>
      </c>
      <c r="K86" s="3">
        <v>59</v>
      </c>
      <c r="L86" s="6">
        <v>317</v>
      </c>
      <c r="M86" s="1">
        <v>0.63</v>
      </c>
      <c r="N86" t="str">
        <f t="shared" si="4"/>
        <v>C</v>
      </c>
      <c r="O86" t="str">
        <f t="shared" si="5"/>
        <v>PASS</v>
      </c>
    </row>
    <row r="87" spans="1:15" x14ac:dyDescent="0.25">
      <c r="A87" t="s">
        <v>225</v>
      </c>
      <c r="B87" t="s">
        <v>226</v>
      </c>
      <c r="C87" t="s">
        <v>2</v>
      </c>
      <c r="D87">
        <v>15</v>
      </c>
      <c r="E87">
        <v>25</v>
      </c>
      <c r="F87" s="4">
        <v>0.94</v>
      </c>
      <c r="G87" s="3">
        <v>68</v>
      </c>
      <c r="H87" s="3">
        <v>84</v>
      </c>
      <c r="I87" s="3">
        <v>87</v>
      </c>
      <c r="J87" s="3">
        <v>75</v>
      </c>
      <c r="K87" s="3">
        <v>56</v>
      </c>
      <c r="L87" s="6">
        <v>370</v>
      </c>
      <c r="M87" s="1">
        <v>0.74</v>
      </c>
      <c r="N87" t="str">
        <f t="shared" si="4"/>
        <v>B</v>
      </c>
      <c r="O87" t="str">
        <f t="shared" si="5"/>
        <v>PASS</v>
      </c>
    </row>
    <row r="88" spans="1:15" x14ac:dyDescent="0.25">
      <c r="A88" t="s">
        <v>227</v>
      </c>
      <c r="B88" t="s">
        <v>228</v>
      </c>
      <c r="C88" t="s">
        <v>229</v>
      </c>
      <c r="D88">
        <v>16</v>
      </c>
      <c r="E88">
        <v>18</v>
      </c>
      <c r="F88" s="4">
        <v>0.71</v>
      </c>
      <c r="G88" s="3">
        <v>40</v>
      </c>
      <c r="H88" s="3">
        <v>60</v>
      </c>
      <c r="I88" s="3">
        <v>94</v>
      </c>
      <c r="J88" s="3">
        <v>56</v>
      </c>
      <c r="K88" s="3">
        <v>70</v>
      </c>
      <c r="L88" s="6">
        <v>320</v>
      </c>
      <c r="M88" s="1">
        <v>0.64</v>
      </c>
      <c r="N88" t="str">
        <f t="shared" si="4"/>
        <v>C</v>
      </c>
      <c r="O88" t="str">
        <f t="shared" si="5"/>
        <v>PASS</v>
      </c>
    </row>
    <row r="89" spans="1:15" x14ac:dyDescent="0.25">
      <c r="A89" t="s">
        <v>230</v>
      </c>
      <c r="B89" t="s">
        <v>228</v>
      </c>
      <c r="C89" t="s">
        <v>155</v>
      </c>
      <c r="D89">
        <v>15</v>
      </c>
      <c r="E89">
        <v>21</v>
      </c>
      <c r="F89" s="4">
        <v>0.82</v>
      </c>
      <c r="G89" s="3">
        <v>89</v>
      </c>
      <c r="H89" s="3">
        <v>70</v>
      </c>
      <c r="I89" s="3">
        <v>48</v>
      </c>
      <c r="J89" s="3">
        <v>43</v>
      </c>
      <c r="K89" s="3">
        <v>56</v>
      </c>
      <c r="L89" s="6">
        <v>306</v>
      </c>
      <c r="M89" s="1">
        <v>0.61</v>
      </c>
      <c r="N89" t="str">
        <f t="shared" si="4"/>
        <v>C</v>
      </c>
      <c r="O89" t="str">
        <f t="shared" si="5"/>
        <v>PASS</v>
      </c>
    </row>
    <row r="90" spans="1:15" x14ac:dyDescent="0.25">
      <c r="A90" t="s">
        <v>231</v>
      </c>
      <c r="B90" t="s">
        <v>232</v>
      </c>
      <c r="C90" t="s">
        <v>155</v>
      </c>
      <c r="D90">
        <v>16</v>
      </c>
      <c r="E90">
        <v>22</v>
      </c>
      <c r="F90" s="4">
        <v>0.6</v>
      </c>
      <c r="G90" s="3">
        <v>35</v>
      </c>
      <c r="H90" s="3">
        <v>51</v>
      </c>
      <c r="I90" s="3">
        <v>58</v>
      </c>
      <c r="J90" s="3">
        <v>62</v>
      </c>
      <c r="K90" s="3">
        <v>81</v>
      </c>
      <c r="L90" s="6">
        <v>287</v>
      </c>
      <c r="M90" s="1">
        <v>0.56999999999999995</v>
      </c>
      <c r="N90" t="str">
        <f t="shared" si="4"/>
        <v>D</v>
      </c>
      <c r="O90" t="str">
        <f t="shared" si="5"/>
        <v>PASS</v>
      </c>
    </row>
    <row r="91" spans="1:15" x14ac:dyDescent="0.25">
      <c r="A91" t="s">
        <v>233</v>
      </c>
      <c r="B91" t="s">
        <v>234</v>
      </c>
      <c r="C91" t="s">
        <v>176</v>
      </c>
      <c r="D91">
        <v>16</v>
      </c>
      <c r="E91">
        <v>17</v>
      </c>
      <c r="F91" s="4">
        <v>0.97</v>
      </c>
      <c r="G91" s="3">
        <v>91</v>
      </c>
      <c r="H91" s="3">
        <v>72</v>
      </c>
      <c r="I91" s="3">
        <v>52</v>
      </c>
      <c r="J91" s="3">
        <v>44</v>
      </c>
      <c r="K91" s="3">
        <v>62</v>
      </c>
      <c r="L91" s="6">
        <v>321</v>
      </c>
      <c r="M91" s="1">
        <v>0.64</v>
      </c>
      <c r="N91" t="str">
        <f t="shared" si="4"/>
        <v>C</v>
      </c>
      <c r="O91" t="str">
        <f t="shared" si="5"/>
        <v>PASS</v>
      </c>
    </row>
    <row r="92" spans="1:15" x14ac:dyDescent="0.25">
      <c r="A92" t="s">
        <v>235</v>
      </c>
      <c r="B92" t="s">
        <v>236</v>
      </c>
      <c r="C92" t="s">
        <v>57</v>
      </c>
      <c r="D92">
        <v>16</v>
      </c>
      <c r="E92">
        <v>11</v>
      </c>
      <c r="F92" s="4">
        <v>0.83</v>
      </c>
      <c r="G92" s="3">
        <v>84</v>
      </c>
      <c r="H92" s="3">
        <v>66</v>
      </c>
      <c r="I92" s="3">
        <v>70</v>
      </c>
      <c r="J92" s="3">
        <v>68</v>
      </c>
      <c r="K92" s="3">
        <v>71</v>
      </c>
      <c r="L92" s="6">
        <v>359</v>
      </c>
      <c r="M92" s="1">
        <v>0.72</v>
      </c>
      <c r="N92" t="str">
        <f t="shared" si="4"/>
        <v>B</v>
      </c>
      <c r="O92" t="str">
        <f t="shared" si="5"/>
        <v>PASS</v>
      </c>
    </row>
    <row r="93" spans="1:15" x14ac:dyDescent="0.25">
      <c r="A93" t="s">
        <v>237</v>
      </c>
      <c r="B93" t="s">
        <v>238</v>
      </c>
      <c r="C93" t="s">
        <v>101</v>
      </c>
      <c r="D93">
        <v>15</v>
      </c>
      <c r="E93">
        <v>17</v>
      </c>
      <c r="F93" s="4">
        <v>0.89</v>
      </c>
      <c r="G93" s="3">
        <v>40</v>
      </c>
      <c r="H93" s="3">
        <v>55</v>
      </c>
      <c r="I93" s="3">
        <v>82</v>
      </c>
      <c r="J93" s="3">
        <v>79</v>
      </c>
      <c r="K93" s="3">
        <v>30</v>
      </c>
      <c r="L93" s="6">
        <v>286</v>
      </c>
      <c r="M93" s="1">
        <v>0.56999999999999995</v>
      </c>
      <c r="N93" t="str">
        <f t="shared" si="4"/>
        <v>D</v>
      </c>
      <c r="O93" t="str">
        <f t="shared" si="5"/>
        <v>PASS</v>
      </c>
    </row>
    <row r="94" spans="1:15" x14ac:dyDescent="0.25">
      <c r="A94" t="s">
        <v>239</v>
      </c>
      <c r="B94" t="s">
        <v>240</v>
      </c>
      <c r="C94" t="s">
        <v>98</v>
      </c>
      <c r="D94">
        <v>18</v>
      </c>
      <c r="E94">
        <v>12</v>
      </c>
      <c r="F94" s="4">
        <v>0.97</v>
      </c>
      <c r="G94" s="3">
        <v>42</v>
      </c>
      <c r="H94" s="3">
        <v>42</v>
      </c>
      <c r="I94" s="3">
        <v>74</v>
      </c>
      <c r="J94" s="3">
        <v>55</v>
      </c>
      <c r="K94" s="3">
        <v>70</v>
      </c>
      <c r="L94" s="6">
        <v>283</v>
      </c>
      <c r="M94" s="1">
        <v>0.56999999999999995</v>
      </c>
      <c r="N94" t="str">
        <f t="shared" si="4"/>
        <v>D</v>
      </c>
      <c r="O94" t="str">
        <f t="shared" si="5"/>
        <v>PASS</v>
      </c>
    </row>
    <row r="95" spans="1:15" x14ac:dyDescent="0.25">
      <c r="A95" t="s">
        <v>241</v>
      </c>
      <c r="B95" t="s">
        <v>242</v>
      </c>
      <c r="C95" t="s">
        <v>171</v>
      </c>
      <c r="D95">
        <v>17</v>
      </c>
      <c r="E95">
        <v>7</v>
      </c>
      <c r="F95" s="4">
        <v>0.74</v>
      </c>
      <c r="G95" s="3">
        <v>65</v>
      </c>
      <c r="H95" s="3">
        <v>49</v>
      </c>
      <c r="I95" s="3">
        <v>76</v>
      </c>
      <c r="J95" s="3">
        <v>64</v>
      </c>
      <c r="K95" s="3">
        <v>82</v>
      </c>
      <c r="L95" s="6">
        <v>336</v>
      </c>
      <c r="M95" s="1">
        <v>0.67</v>
      </c>
      <c r="N95" t="str">
        <f t="shared" si="4"/>
        <v>C</v>
      </c>
      <c r="O95" t="str">
        <f t="shared" si="5"/>
        <v>PASS</v>
      </c>
    </row>
    <row r="96" spans="1:15" x14ac:dyDescent="0.25">
      <c r="A96" t="s">
        <v>243</v>
      </c>
      <c r="B96" t="s">
        <v>244</v>
      </c>
      <c r="C96" t="s">
        <v>101</v>
      </c>
      <c r="D96">
        <v>19</v>
      </c>
      <c r="E96">
        <v>10</v>
      </c>
      <c r="F96" s="4">
        <v>0.52</v>
      </c>
      <c r="G96" s="3">
        <v>70</v>
      </c>
      <c r="H96" s="3">
        <v>42</v>
      </c>
      <c r="I96" s="3">
        <v>46</v>
      </c>
      <c r="J96" s="3">
        <v>38</v>
      </c>
      <c r="K96" s="3">
        <v>78</v>
      </c>
      <c r="L96" s="6">
        <v>274</v>
      </c>
      <c r="M96" s="1">
        <v>0.55000000000000004</v>
      </c>
      <c r="N96" t="str">
        <f t="shared" si="4"/>
        <v>D</v>
      </c>
      <c r="O96" t="str">
        <f t="shared" si="5"/>
        <v>PASS</v>
      </c>
    </row>
    <row r="97" spans="1:15" x14ac:dyDescent="0.25">
      <c r="A97" t="s">
        <v>245</v>
      </c>
      <c r="B97" t="s">
        <v>246</v>
      </c>
      <c r="C97" t="s">
        <v>247</v>
      </c>
      <c r="D97">
        <v>18</v>
      </c>
      <c r="E97">
        <v>5</v>
      </c>
      <c r="F97" s="4">
        <v>0.73</v>
      </c>
      <c r="G97" s="3">
        <v>94</v>
      </c>
      <c r="H97" s="3">
        <v>50</v>
      </c>
      <c r="I97" s="3">
        <v>43</v>
      </c>
      <c r="J97" s="3">
        <v>66</v>
      </c>
      <c r="K97" s="3">
        <v>44</v>
      </c>
      <c r="L97" s="6">
        <v>297</v>
      </c>
      <c r="M97" s="1">
        <v>0.59</v>
      </c>
      <c r="N97" t="str">
        <f t="shared" si="4"/>
        <v>D</v>
      </c>
      <c r="O97" t="str">
        <f t="shared" si="5"/>
        <v>PASS</v>
      </c>
    </row>
    <row r="98" spans="1:15" x14ac:dyDescent="0.25">
      <c r="A98" t="s">
        <v>248</v>
      </c>
      <c r="B98" t="s">
        <v>249</v>
      </c>
      <c r="C98" t="s">
        <v>171</v>
      </c>
      <c r="D98">
        <v>19</v>
      </c>
      <c r="E98">
        <v>21</v>
      </c>
      <c r="F98" s="4">
        <v>0.83</v>
      </c>
      <c r="G98" s="3">
        <v>57</v>
      </c>
      <c r="H98" s="3">
        <v>68</v>
      </c>
      <c r="I98" s="3">
        <v>40</v>
      </c>
      <c r="J98" s="3">
        <v>74</v>
      </c>
      <c r="K98" s="3">
        <v>49</v>
      </c>
      <c r="L98" s="6">
        <v>288</v>
      </c>
      <c r="M98" s="1">
        <v>0.57999999999999996</v>
      </c>
      <c r="N98" t="str">
        <f t="shared" si="4"/>
        <v>D</v>
      </c>
      <c r="O98" t="str">
        <f t="shared" si="5"/>
        <v>PASS</v>
      </c>
    </row>
    <row r="99" spans="1:15" x14ac:dyDescent="0.25">
      <c r="A99" t="s">
        <v>250</v>
      </c>
      <c r="B99" t="s">
        <v>251</v>
      </c>
      <c r="C99" t="s">
        <v>25</v>
      </c>
      <c r="D99">
        <v>16</v>
      </c>
      <c r="E99">
        <v>8</v>
      </c>
      <c r="F99" s="4">
        <v>0.56999999999999995</v>
      </c>
      <c r="G99" s="3">
        <v>51</v>
      </c>
      <c r="H99" s="3">
        <v>32</v>
      </c>
      <c r="I99" s="3">
        <v>39</v>
      </c>
      <c r="J99" s="3">
        <v>71</v>
      </c>
      <c r="K99" s="3">
        <v>89</v>
      </c>
      <c r="L99" s="6">
        <v>282</v>
      </c>
      <c r="M99" s="1">
        <v>0.56000000000000005</v>
      </c>
      <c r="N99" t="str">
        <f t="shared" ref="N99:N123" si="6">IF(M99&gt;=90%, "A", IF(M99&gt;=70%, "B", IF(M99&gt;=60%, "C", IF(M99&gt;=35%, "D", "F"))))</f>
        <v>D</v>
      </c>
      <c r="O99" t="str">
        <f t="shared" ref="O99:O123" si="7">IF(M99&gt;=35%, "PASS","FAIL")</f>
        <v>PASS</v>
      </c>
    </row>
    <row r="100" spans="1:15" x14ac:dyDescent="0.25">
      <c r="A100" t="s">
        <v>252</v>
      </c>
      <c r="B100" t="s">
        <v>253</v>
      </c>
      <c r="C100" t="s">
        <v>254</v>
      </c>
      <c r="D100">
        <v>18</v>
      </c>
      <c r="E100">
        <v>20</v>
      </c>
      <c r="F100" s="4">
        <v>0.78</v>
      </c>
      <c r="G100" s="3">
        <v>47</v>
      </c>
      <c r="H100" s="3">
        <v>61</v>
      </c>
      <c r="I100" s="3">
        <v>36</v>
      </c>
      <c r="J100" s="3">
        <v>56</v>
      </c>
      <c r="K100" s="3">
        <v>52</v>
      </c>
      <c r="L100" s="6">
        <v>252</v>
      </c>
      <c r="M100" s="1">
        <v>0.5</v>
      </c>
      <c r="N100" t="str">
        <f t="shared" si="6"/>
        <v>D</v>
      </c>
      <c r="O100" t="str">
        <f t="shared" si="7"/>
        <v>PASS</v>
      </c>
    </row>
    <row r="101" spans="1:15" x14ac:dyDescent="0.25">
      <c r="A101" t="s">
        <v>255</v>
      </c>
      <c r="B101" t="s">
        <v>256</v>
      </c>
      <c r="C101" t="s">
        <v>257</v>
      </c>
      <c r="D101">
        <v>17</v>
      </c>
      <c r="E101">
        <v>27</v>
      </c>
      <c r="F101" s="4">
        <v>0.75</v>
      </c>
      <c r="G101" s="3">
        <v>92</v>
      </c>
      <c r="H101" s="3">
        <v>70</v>
      </c>
      <c r="I101" s="3">
        <v>91</v>
      </c>
      <c r="J101" s="3">
        <v>57</v>
      </c>
      <c r="K101" s="3">
        <v>83</v>
      </c>
      <c r="L101" s="6">
        <v>393</v>
      </c>
      <c r="M101" s="1">
        <v>0.79</v>
      </c>
      <c r="N101" t="str">
        <f t="shared" si="6"/>
        <v>B</v>
      </c>
      <c r="O101" t="str">
        <f t="shared" si="7"/>
        <v>PASS</v>
      </c>
    </row>
    <row r="102" spans="1:15" x14ac:dyDescent="0.25">
      <c r="A102" t="s">
        <v>258</v>
      </c>
      <c r="B102" t="s">
        <v>259</v>
      </c>
      <c r="C102" t="s">
        <v>48</v>
      </c>
      <c r="D102">
        <v>18</v>
      </c>
      <c r="E102">
        <v>15</v>
      </c>
      <c r="F102" s="4">
        <v>0.94</v>
      </c>
      <c r="G102" s="3">
        <v>93</v>
      </c>
      <c r="H102" s="3">
        <v>66</v>
      </c>
      <c r="I102" s="3">
        <v>47</v>
      </c>
      <c r="J102" s="3">
        <v>20</v>
      </c>
      <c r="K102" s="3">
        <v>85</v>
      </c>
      <c r="L102" s="6">
        <v>311</v>
      </c>
      <c r="M102" s="1">
        <v>0.62</v>
      </c>
      <c r="N102" t="str">
        <f t="shared" si="6"/>
        <v>C</v>
      </c>
      <c r="O102" t="str">
        <f t="shared" si="7"/>
        <v>PASS</v>
      </c>
    </row>
    <row r="103" spans="1:15" x14ac:dyDescent="0.25">
      <c r="A103" t="s">
        <v>260</v>
      </c>
      <c r="B103" t="s">
        <v>261</v>
      </c>
      <c r="C103" t="s">
        <v>98</v>
      </c>
      <c r="D103">
        <v>19</v>
      </c>
      <c r="E103">
        <v>9</v>
      </c>
      <c r="F103" s="4">
        <v>0.84</v>
      </c>
      <c r="G103" s="3">
        <v>70</v>
      </c>
      <c r="H103" s="3">
        <v>49</v>
      </c>
      <c r="I103" s="3">
        <v>75</v>
      </c>
      <c r="J103" s="3">
        <v>57</v>
      </c>
      <c r="K103" s="3">
        <v>81</v>
      </c>
      <c r="L103" s="6">
        <v>332</v>
      </c>
      <c r="M103" s="1">
        <v>0.66</v>
      </c>
      <c r="N103" t="str">
        <f t="shared" si="6"/>
        <v>C</v>
      </c>
      <c r="O103" t="str">
        <f t="shared" si="7"/>
        <v>PASS</v>
      </c>
    </row>
    <row r="104" spans="1:15" x14ac:dyDescent="0.25">
      <c r="A104" t="s">
        <v>262</v>
      </c>
      <c r="B104" t="s">
        <v>263</v>
      </c>
      <c r="C104" t="s">
        <v>264</v>
      </c>
      <c r="D104">
        <v>18</v>
      </c>
      <c r="E104">
        <v>30</v>
      </c>
      <c r="F104" s="4">
        <v>0.76</v>
      </c>
      <c r="G104" s="3">
        <v>28</v>
      </c>
      <c r="H104" s="3">
        <v>10</v>
      </c>
      <c r="I104" s="3">
        <v>22</v>
      </c>
      <c r="J104" s="3">
        <v>14</v>
      </c>
      <c r="K104" s="3">
        <v>57</v>
      </c>
      <c r="L104" s="6">
        <v>131</v>
      </c>
      <c r="M104" s="1">
        <v>0.26</v>
      </c>
      <c r="N104" t="str">
        <f t="shared" si="6"/>
        <v>F</v>
      </c>
      <c r="O104" t="str">
        <f t="shared" si="7"/>
        <v>FAIL</v>
      </c>
    </row>
    <row r="105" spans="1:15" x14ac:dyDescent="0.25">
      <c r="A105" t="s">
        <v>265</v>
      </c>
      <c r="B105" t="s">
        <v>266</v>
      </c>
      <c r="C105" t="s">
        <v>229</v>
      </c>
      <c r="D105">
        <v>19</v>
      </c>
      <c r="E105">
        <v>26</v>
      </c>
      <c r="F105" s="4">
        <v>0.63</v>
      </c>
      <c r="G105" s="3">
        <v>85</v>
      </c>
      <c r="H105" s="3">
        <v>64</v>
      </c>
      <c r="I105" s="3">
        <v>67</v>
      </c>
      <c r="J105" s="3">
        <v>68</v>
      </c>
      <c r="K105" s="3">
        <v>89</v>
      </c>
      <c r="L105" s="6">
        <v>373</v>
      </c>
      <c r="M105" s="1">
        <v>0.75</v>
      </c>
      <c r="N105" t="str">
        <f t="shared" si="6"/>
        <v>B</v>
      </c>
      <c r="O105" t="str">
        <f t="shared" si="7"/>
        <v>PASS</v>
      </c>
    </row>
    <row r="106" spans="1:15" x14ac:dyDescent="0.25">
      <c r="A106" t="s">
        <v>267</v>
      </c>
      <c r="B106" t="s">
        <v>268</v>
      </c>
      <c r="C106" t="s">
        <v>25</v>
      </c>
      <c r="D106">
        <v>17</v>
      </c>
      <c r="E106">
        <v>4</v>
      </c>
      <c r="F106" s="4">
        <v>0.75</v>
      </c>
      <c r="G106" s="3">
        <v>92</v>
      </c>
      <c r="H106" s="3">
        <v>34</v>
      </c>
      <c r="I106" s="3">
        <v>65</v>
      </c>
      <c r="J106" s="3">
        <v>52</v>
      </c>
      <c r="K106" s="3">
        <v>43</v>
      </c>
      <c r="L106" s="6">
        <v>286</v>
      </c>
      <c r="M106" s="1">
        <v>0.56999999999999995</v>
      </c>
      <c r="N106" t="str">
        <f t="shared" si="6"/>
        <v>D</v>
      </c>
      <c r="O106" t="str">
        <f t="shared" si="7"/>
        <v>PASS</v>
      </c>
    </row>
    <row r="107" spans="1:15" x14ac:dyDescent="0.25">
      <c r="A107" t="s">
        <v>269</v>
      </c>
      <c r="B107" t="s">
        <v>270</v>
      </c>
      <c r="C107" t="s">
        <v>271</v>
      </c>
      <c r="D107">
        <v>15</v>
      </c>
      <c r="E107">
        <v>11</v>
      </c>
      <c r="F107" s="4">
        <v>0.68</v>
      </c>
      <c r="G107" s="3">
        <v>61</v>
      </c>
      <c r="H107" s="3">
        <v>55</v>
      </c>
      <c r="I107" s="3">
        <v>77</v>
      </c>
      <c r="J107" s="3">
        <v>48</v>
      </c>
      <c r="K107" s="3">
        <v>30</v>
      </c>
      <c r="L107" s="6">
        <v>271</v>
      </c>
      <c r="M107" s="1">
        <v>0.54</v>
      </c>
      <c r="N107" t="str">
        <f t="shared" si="6"/>
        <v>D</v>
      </c>
      <c r="O107" t="str">
        <f t="shared" si="7"/>
        <v>PASS</v>
      </c>
    </row>
    <row r="108" spans="1:15" x14ac:dyDescent="0.25">
      <c r="A108" t="s">
        <v>272</v>
      </c>
      <c r="B108" t="s">
        <v>273</v>
      </c>
      <c r="C108" t="s">
        <v>274</v>
      </c>
      <c r="D108">
        <v>16</v>
      </c>
      <c r="E108">
        <v>14</v>
      </c>
      <c r="F108" s="4">
        <v>0.56000000000000005</v>
      </c>
      <c r="G108" s="3">
        <v>40</v>
      </c>
      <c r="H108" s="3">
        <v>43</v>
      </c>
      <c r="I108" s="3">
        <v>41</v>
      </c>
      <c r="J108" s="3">
        <v>38</v>
      </c>
      <c r="K108" s="3">
        <v>93</v>
      </c>
      <c r="L108" s="6">
        <v>255</v>
      </c>
      <c r="M108" s="1">
        <v>0.51</v>
      </c>
      <c r="N108" t="str">
        <f t="shared" si="6"/>
        <v>D</v>
      </c>
      <c r="O108" t="str">
        <f t="shared" si="7"/>
        <v>PASS</v>
      </c>
    </row>
    <row r="109" spans="1:15" x14ac:dyDescent="0.25">
      <c r="A109" t="s">
        <v>275</v>
      </c>
      <c r="B109" t="s">
        <v>276</v>
      </c>
      <c r="C109" t="s">
        <v>277</v>
      </c>
      <c r="D109">
        <v>17</v>
      </c>
      <c r="E109">
        <v>23</v>
      </c>
      <c r="F109" s="4">
        <v>0.54</v>
      </c>
      <c r="G109" s="3">
        <v>20</v>
      </c>
      <c r="H109" s="3">
        <v>35</v>
      </c>
      <c r="I109" s="3">
        <v>25</v>
      </c>
      <c r="J109" s="3">
        <v>16</v>
      </c>
      <c r="K109" s="3">
        <v>31</v>
      </c>
      <c r="L109" s="6">
        <v>127</v>
      </c>
      <c r="M109" s="1">
        <v>0.25</v>
      </c>
      <c r="N109" t="str">
        <f t="shared" si="6"/>
        <v>F</v>
      </c>
      <c r="O109" t="str">
        <f t="shared" si="7"/>
        <v>FAIL</v>
      </c>
    </row>
    <row r="110" spans="1:15" x14ac:dyDescent="0.25">
      <c r="A110" t="s">
        <v>278</v>
      </c>
      <c r="B110" t="s">
        <v>279</v>
      </c>
      <c r="C110" t="s">
        <v>229</v>
      </c>
      <c r="D110">
        <v>16</v>
      </c>
      <c r="E110">
        <v>28</v>
      </c>
      <c r="F110" s="4">
        <v>0.71</v>
      </c>
      <c r="G110" s="3">
        <v>91</v>
      </c>
      <c r="H110" s="3">
        <v>66</v>
      </c>
      <c r="I110" s="3">
        <v>35</v>
      </c>
      <c r="J110" s="3">
        <v>42</v>
      </c>
      <c r="K110" s="3">
        <v>55</v>
      </c>
      <c r="L110" s="6">
        <v>289</v>
      </c>
      <c r="M110" s="1">
        <v>0.57999999999999996</v>
      </c>
      <c r="N110" t="str">
        <f t="shared" si="6"/>
        <v>D</v>
      </c>
      <c r="O110" t="str">
        <f t="shared" si="7"/>
        <v>PASS</v>
      </c>
    </row>
    <row r="111" spans="1:15" x14ac:dyDescent="0.25">
      <c r="A111" t="s">
        <v>280</v>
      </c>
      <c r="B111" t="s">
        <v>281</v>
      </c>
      <c r="C111" t="s">
        <v>282</v>
      </c>
      <c r="D111">
        <v>18</v>
      </c>
      <c r="E111">
        <v>22</v>
      </c>
      <c r="F111" s="4">
        <v>0.86</v>
      </c>
      <c r="G111" s="3">
        <v>67</v>
      </c>
      <c r="H111" s="3">
        <v>64</v>
      </c>
      <c r="I111" s="3">
        <v>69</v>
      </c>
      <c r="J111" s="3">
        <v>81</v>
      </c>
      <c r="K111" s="3">
        <v>87</v>
      </c>
      <c r="L111" s="6">
        <v>368</v>
      </c>
      <c r="M111" s="1">
        <v>0.74</v>
      </c>
      <c r="N111" t="str">
        <f t="shared" si="6"/>
        <v>B</v>
      </c>
      <c r="O111" t="str">
        <f t="shared" si="7"/>
        <v>PASS</v>
      </c>
    </row>
    <row r="112" spans="1:15" x14ac:dyDescent="0.25">
      <c r="A112" t="s">
        <v>283</v>
      </c>
      <c r="B112" t="s">
        <v>284</v>
      </c>
      <c r="C112" t="s">
        <v>285</v>
      </c>
      <c r="D112">
        <v>15</v>
      </c>
      <c r="E112">
        <v>28</v>
      </c>
      <c r="F112" s="4">
        <v>0.6</v>
      </c>
      <c r="G112" s="3">
        <v>68</v>
      </c>
      <c r="H112" s="3">
        <v>58</v>
      </c>
      <c r="I112" s="3">
        <v>68</v>
      </c>
      <c r="J112" s="3">
        <v>50</v>
      </c>
      <c r="K112" s="3">
        <v>50</v>
      </c>
      <c r="L112" s="6">
        <v>294</v>
      </c>
      <c r="M112" s="1">
        <v>0.59</v>
      </c>
      <c r="N112" t="str">
        <f t="shared" si="6"/>
        <v>D</v>
      </c>
      <c r="O112" t="str">
        <f t="shared" si="7"/>
        <v>PASS</v>
      </c>
    </row>
    <row r="113" spans="1:15" x14ac:dyDescent="0.25">
      <c r="A113" t="s">
        <v>286</v>
      </c>
      <c r="B113" t="s">
        <v>287</v>
      </c>
      <c r="C113" t="s">
        <v>288</v>
      </c>
      <c r="D113">
        <v>18</v>
      </c>
      <c r="E113">
        <v>4</v>
      </c>
      <c r="F113" s="4">
        <v>0.84</v>
      </c>
      <c r="G113" s="3">
        <v>44</v>
      </c>
      <c r="H113" s="3">
        <v>42</v>
      </c>
      <c r="I113" s="3">
        <v>69</v>
      </c>
      <c r="J113" s="3">
        <v>70</v>
      </c>
      <c r="K113" s="3">
        <v>70</v>
      </c>
      <c r="L113" s="6">
        <v>295</v>
      </c>
      <c r="M113" s="1">
        <v>0.59</v>
      </c>
      <c r="N113" t="str">
        <f t="shared" si="6"/>
        <v>D</v>
      </c>
      <c r="O113" t="str">
        <f t="shared" si="7"/>
        <v>PASS</v>
      </c>
    </row>
    <row r="114" spans="1:15" x14ac:dyDescent="0.25">
      <c r="A114" t="s">
        <v>289</v>
      </c>
      <c r="B114" t="s">
        <v>290</v>
      </c>
      <c r="C114" t="s">
        <v>291</v>
      </c>
      <c r="D114">
        <v>17</v>
      </c>
      <c r="E114">
        <v>24</v>
      </c>
      <c r="F114" s="4">
        <v>0.73</v>
      </c>
      <c r="G114" s="3">
        <v>45</v>
      </c>
      <c r="H114" s="3">
        <v>74</v>
      </c>
      <c r="I114" s="3">
        <v>46</v>
      </c>
      <c r="J114" s="3">
        <v>56</v>
      </c>
      <c r="K114" s="3">
        <v>57</v>
      </c>
      <c r="L114" s="6">
        <v>278</v>
      </c>
      <c r="M114" s="1">
        <v>0.56000000000000005</v>
      </c>
      <c r="N114" t="str">
        <f t="shared" si="6"/>
        <v>D</v>
      </c>
      <c r="O114" t="str">
        <f t="shared" si="7"/>
        <v>PASS</v>
      </c>
    </row>
    <row r="115" spans="1:15" x14ac:dyDescent="0.25">
      <c r="A115" t="s">
        <v>292</v>
      </c>
      <c r="B115" t="s">
        <v>293</v>
      </c>
      <c r="C115" t="s">
        <v>294</v>
      </c>
      <c r="D115">
        <v>19</v>
      </c>
      <c r="E115">
        <v>29</v>
      </c>
      <c r="F115" s="4">
        <v>0.77</v>
      </c>
      <c r="G115" s="3">
        <v>38</v>
      </c>
      <c r="H115" s="3">
        <v>78</v>
      </c>
      <c r="I115" s="3">
        <v>83</v>
      </c>
      <c r="J115" s="3">
        <v>44</v>
      </c>
      <c r="K115" s="3">
        <v>81</v>
      </c>
      <c r="L115" s="6">
        <v>324</v>
      </c>
      <c r="M115" s="1">
        <v>0.65</v>
      </c>
      <c r="N115" t="str">
        <f t="shared" si="6"/>
        <v>C</v>
      </c>
      <c r="O115" t="str">
        <f t="shared" si="7"/>
        <v>PASS</v>
      </c>
    </row>
    <row r="116" spans="1:15" x14ac:dyDescent="0.25">
      <c r="A116" t="s">
        <v>295</v>
      </c>
      <c r="B116" t="s">
        <v>296</v>
      </c>
      <c r="C116" t="s">
        <v>66</v>
      </c>
      <c r="D116">
        <v>17</v>
      </c>
      <c r="E116">
        <v>22</v>
      </c>
      <c r="F116" s="4">
        <v>0.86</v>
      </c>
      <c r="G116" s="3">
        <v>60</v>
      </c>
      <c r="H116" s="3">
        <v>75</v>
      </c>
      <c r="I116" s="3">
        <v>37</v>
      </c>
      <c r="J116" s="3">
        <v>67</v>
      </c>
      <c r="K116" s="3">
        <v>37</v>
      </c>
      <c r="L116" s="6">
        <v>276</v>
      </c>
      <c r="M116" s="1">
        <v>0.55000000000000004</v>
      </c>
      <c r="N116" t="str">
        <f t="shared" si="6"/>
        <v>D</v>
      </c>
      <c r="O116" t="str">
        <f t="shared" si="7"/>
        <v>PASS</v>
      </c>
    </row>
    <row r="117" spans="1:15" x14ac:dyDescent="0.25">
      <c r="A117" t="s">
        <v>297</v>
      </c>
      <c r="B117" t="s">
        <v>298</v>
      </c>
      <c r="C117" t="s">
        <v>176</v>
      </c>
      <c r="D117">
        <v>15</v>
      </c>
      <c r="E117">
        <v>9</v>
      </c>
      <c r="F117" s="4">
        <v>0.56000000000000005</v>
      </c>
      <c r="G117" s="3">
        <v>87</v>
      </c>
      <c r="H117" s="3">
        <v>46</v>
      </c>
      <c r="I117" s="3">
        <v>83</v>
      </c>
      <c r="J117" s="3">
        <v>56</v>
      </c>
      <c r="K117" s="3">
        <v>73</v>
      </c>
      <c r="L117" s="6">
        <v>345</v>
      </c>
      <c r="M117" s="1">
        <v>0.69</v>
      </c>
      <c r="N117" t="str">
        <f t="shared" si="6"/>
        <v>C</v>
      </c>
      <c r="O117" t="str">
        <f t="shared" si="7"/>
        <v>PASS</v>
      </c>
    </row>
    <row r="118" spans="1:15" x14ac:dyDescent="0.25">
      <c r="A118" t="s">
        <v>299</v>
      </c>
      <c r="B118" t="s">
        <v>300</v>
      </c>
      <c r="C118" t="s">
        <v>34</v>
      </c>
      <c r="D118">
        <v>15</v>
      </c>
      <c r="E118">
        <v>2</v>
      </c>
      <c r="F118" s="4">
        <v>0.55000000000000004</v>
      </c>
      <c r="G118" s="3">
        <v>83</v>
      </c>
      <c r="H118" s="3">
        <v>28</v>
      </c>
      <c r="I118" s="3">
        <v>68</v>
      </c>
      <c r="J118" s="3">
        <v>67</v>
      </c>
      <c r="K118" s="3">
        <v>84</v>
      </c>
      <c r="L118" s="6">
        <v>330</v>
      </c>
      <c r="M118" s="1">
        <v>0.66</v>
      </c>
      <c r="N118" t="str">
        <f t="shared" si="6"/>
        <v>C</v>
      </c>
      <c r="O118" t="str">
        <f t="shared" si="7"/>
        <v>PASS</v>
      </c>
    </row>
    <row r="119" spans="1:15" x14ac:dyDescent="0.25">
      <c r="A119" t="s">
        <v>301</v>
      </c>
      <c r="B119" t="s">
        <v>302</v>
      </c>
      <c r="C119" t="s">
        <v>303</v>
      </c>
      <c r="D119">
        <v>18</v>
      </c>
      <c r="E119">
        <v>2</v>
      </c>
      <c r="F119" s="4">
        <v>0.69</v>
      </c>
      <c r="G119" s="3">
        <v>46</v>
      </c>
      <c r="H119" s="3">
        <v>37</v>
      </c>
      <c r="I119" s="3">
        <v>69</v>
      </c>
      <c r="J119" s="3">
        <v>49</v>
      </c>
      <c r="K119" s="3">
        <v>70</v>
      </c>
      <c r="L119" s="6">
        <v>271</v>
      </c>
      <c r="M119" s="1">
        <v>0.54</v>
      </c>
      <c r="N119" t="str">
        <f t="shared" si="6"/>
        <v>D</v>
      </c>
      <c r="O119" t="str">
        <f t="shared" si="7"/>
        <v>PASS</v>
      </c>
    </row>
    <row r="120" spans="1:15" x14ac:dyDescent="0.25">
      <c r="A120" t="s">
        <v>304</v>
      </c>
      <c r="B120" t="s">
        <v>302</v>
      </c>
      <c r="C120" t="s">
        <v>2</v>
      </c>
      <c r="D120">
        <v>18</v>
      </c>
      <c r="E120">
        <v>5</v>
      </c>
      <c r="F120" s="4">
        <v>0.13</v>
      </c>
      <c r="G120" s="3">
        <v>17</v>
      </c>
      <c r="H120" s="3">
        <v>24</v>
      </c>
      <c r="I120" s="3">
        <v>31</v>
      </c>
      <c r="J120" s="3">
        <v>38</v>
      </c>
      <c r="K120" s="3">
        <v>12</v>
      </c>
      <c r="L120" s="6">
        <v>122</v>
      </c>
      <c r="M120" s="1">
        <v>0.24</v>
      </c>
      <c r="N120" t="str">
        <f t="shared" si="6"/>
        <v>F</v>
      </c>
      <c r="O120" t="str">
        <f t="shared" si="7"/>
        <v>FAIL</v>
      </c>
    </row>
    <row r="121" spans="1:15" x14ac:dyDescent="0.25">
      <c r="A121" t="s">
        <v>305</v>
      </c>
      <c r="B121" t="s">
        <v>306</v>
      </c>
      <c r="C121" t="s">
        <v>69</v>
      </c>
      <c r="D121">
        <v>15</v>
      </c>
      <c r="E121">
        <v>8</v>
      </c>
      <c r="F121" s="4">
        <v>0.96</v>
      </c>
      <c r="G121" s="3">
        <v>93</v>
      </c>
      <c r="H121" s="3">
        <v>56</v>
      </c>
      <c r="I121" s="3">
        <v>83</v>
      </c>
      <c r="J121" s="3">
        <v>50</v>
      </c>
      <c r="K121" s="3">
        <v>59</v>
      </c>
      <c r="L121" s="6">
        <v>341</v>
      </c>
      <c r="M121" s="1">
        <v>0.68</v>
      </c>
      <c r="N121" t="str">
        <f t="shared" si="6"/>
        <v>C</v>
      </c>
      <c r="O121" t="str">
        <f t="shared" si="7"/>
        <v>PASS</v>
      </c>
    </row>
    <row r="122" spans="1:15" x14ac:dyDescent="0.25">
      <c r="A122" t="s">
        <v>307</v>
      </c>
      <c r="B122" t="s">
        <v>308</v>
      </c>
      <c r="C122" t="s">
        <v>309</v>
      </c>
      <c r="D122">
        <v>18</v>
      </c>
      <c r="E122">
        <v>12</v>
      </c>
      <c r="F122" s="4">
        <v>0.7</v>
      </c>
      <c r="G122" s="3">
        <v>83</v>
      </c>
      <c r="H122" s="3">
        <v>61</v>
      </c>
      <c r="I122" s="3">
        <v>66</v>
      </c>
      <c r="J122" s="3">
        <v>66</v>
      </c>
      <c r="K122" s="3">
        <v>55</v>
      </c>
      <c r="L122" s="6">
        <v>331</v>
      </c>
      <c r="M122" s="1">
        <v>0.66</v>
      </c>
      <c r="N122" t="str">
        <f t="shared" si="6"/>
        <v>C</v>
      </c>
      <c r="O122" t="str">
        <f t="shared" si="7"/>
        <v>PASS</v>
      </c>
    </row>
    <row r="123" spans="1:15" x14ac:dyDescent="0.25">
      <c r="A123" t="s">
        <v>310</v>
      </c>
      <c r="B123" t="s">
        <v>311</v>
      </c>
      <c r="C123" t="s">
        <v>312</v>
      </c>
      <c r="D123">
        <v>19</v>
      </c>
      <c r="E123">
        <v>20</v>
      </c>
      <c r="F123" s="4">
        <v>0.98</v>
      </c>
      <c r="G123" s="3">
        <v>90</v>
      </c>
      <c r="H123" s="3">
        <v>78</v>
      </c>
      <c r="I123" s="3">
        <v>45</v>
      </c>
      <c r="J123" s="3">
        <v>45</v>
      </c>
      <c r="K123" s="3">
        <v>38</v>
      </c>
      <c r="L123" s="6">
        <v>296</v>
      </c>
      <c r="M123" s="1">
        <v>0.59</v>
      </c>
      <c r="N123" t="str">
        <f t="shared" si="6"/>
        <v>D</v>
      </c>
      <c r="O123" t="str">
        <f t="shared" si="7"/>
        <v>PASS</v>
      </c>
    </row>
    <row r="125" spans="1:15" x14ac:dyDescent="0.25">
      <c r="D125" s="28" t="s">
        <v>329</v>
      </c>
      <c r="E125" s="29">
        <f>MIN(E3:E123)</f>
        <v>2</v>
      </c>
      <c r="F125" s="30">
        <f>MIN(F3:F123)</f>
        <v>0.13</v>
      </c>
      <c r="G125" s="29">
        <f>MIN(G3:G123)</f>
        <v>12</v>
      </c>
      <c r="H125" s="29">
        <f t="shared" ref="H125:L125" si="8">MIN(H3:H123)</f>
        <v>10</v>
      </c>
      <c r="I125" s="29">
        <f t="shared" si="8"/>
        <v>11</v>
      </c>
      <c r="J125" s="29">
        <f t="shared" si="8"/>
        <v>6</v>
      </c>
      <c r="K125" s="29">
        <f t="shared" si="8"/>
        <v>9</v>
      </c>
      <c r="L125" s="29">
        <f t="shared" si="8"/>
        <v>85</v>
      </c>
      <c r="M125" s="30">
        <f>MIN(M3:M123)</f>
        <v>0.17</v>
      </c>
    </row>
    <row r="126" spans="1:15" x14ac:dyDescent="0.25">
      <c r="D126" s="28" t="s">
        <v>347</v>
      </c>
      <c r="E126" s="8">
        <f>MAX(E3:E123)</f>
        <v>30</v>
      </c>
      <c r="F126" s="30">
        <f>MAX(F3:F123)</f>
        <v>1</v>
      </c>
      <c r="G126" s="8">
        <f>MAX(G3:G123)</f>
        <v>94</v>
      </c>
      <c r="H126" s="8">
        <f t="shared" ref="H126:L126" si="9">MAX(H3:H123)</f>
        <v>89</v>
      </c>
      <c r="I126" s="8">
        <f t="shared" si="9"/>
        <v>95</v>
      </c>
      <c r="J126" s="8">
        <f t="shared" si="9"/>
        <v>91</v>
      </c>
      <c r="K126" s="8">
        <f t="shared" si="9"/>
        <v>94</v>
      </c>
      <c r="L126" s="8">
        <f t="shared" si="9"/>
        <v>393</v>
      </c>
      <c r="M126" s="30">
        <f>MAX(M3:M123)</f>
        <v>0.79</v>
      </c>
    </row>
    <row r="127" spans="1:15" x14ac:dyDescent="0.25">
      <c r="D127" s="28" t="s">
        <v>330</v>
      </c>
      <c r="E127" s="8">
        <f>AVERAGE(E3:E123)</f>
        <v>16.198347107438018</v>
      </c>
      <c r="F127" s="30">
        <f>AVERAGE(F3:F123)</f>
        <v>0.74570247933884282</v>
      </c>
      <c r="G127" s="8">
        <f>AVERAGE(G3:G123)</f>
        <v>61.206611570247937</v>
      </c>
      <c r="H127" s="8">
        <f t="shared" ref="H127:L127" si="10">AVERAGE(H3:H123)</f>
        <v>54.785123966942152</v>
      </c>
      <c r="I127" s="8">
        <f t="shared" si="10"/>
        <v>57.603305785123965</v>
      </c>
      <c r="J127" s="8">
        <f t="shared" si="10"/>
        <v>53.041322314049587</v>
      </c>
      <c r="K127" s="8">
        <f t="shared" si="10"/>
        <v>61.438016528925623</v>
      </c>
      <c r="L127" s="8">
        <f t="shared" si="10"/>
        <v>288.07438016528926</v>
      </c>
      <c r="M127" s="30">
        <f>AVERAGE(M3:M123)</f>
        <v>0.57603305785123982</v>
      </c>
    </row>
  </sheetData>
  <mergeCells count="1">
    <mergeCell ref="G1:K1"/>
  </mergeCells>
  <conditionalFormatting sqref="D125:D127">
    <cfRule type="duplicateValues" dxfId="3" priority="1"/>
  </conditionalFormatting>
  <conditionalFormatting sqref="E3:E123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M3:M123">
    <cfRule type="cellIs" dxfId="2" priority="4" operator="lessThan">
      <formula>0.35</formula>
    </cfRule>
  </conditionalFormatting>
  <conditionalFormatting sqref="N3:N123">
    <cfRule type="containsText" dxfId="1" priority="3" operator="containsText" text="F">
      <formula>NOT(ISERROR(SEARCH("F",N3)))</formula>
    </cfRule>
  </conditionalFormatting>
  <conditionalFormatting sqref="O3:O123">
    <cfRule type="containsText" dxfId="0" priority="2" operator="containsText" text="FAIL">
      <formula>NOT(ISERROR(SEARCH("FAIL",O3)))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9259-03C1-4857-B99B-6679729B3468}">
  <dimension ref="B1:M5"/>
  <sheetViews>
    <sheetView showGridLines="0" tabSelected="1" zoomScale="80" zoomScaleNormal="80" workbookViewId="0">
      <selection activeCell="I3" sqref="I3"/>
    </sheetView>
  </sheetViews>
  <sheetFormatPr defaultRowHeight="15" x14ac:dyDescent="0.25"/>
  <cols>
    <col min="1" max="1" width="9.140625" style="13"/>
    <col min="2" max="2" width="13.85546875" style="13" bestFit="1" customWidth="1"/>
    <col min="3" max="3" width="14" style="13" bestFit="1" customWidth="1"/>
    <col min="4" max="4" width="15.140625" style="13" bestFit="1" customWidth="1"/>
    <col min="5" max="5" width="16" style="13" bestFit="1" customWidth="1"/>
    <col min="6" max="6" width="14.28515625" style="13" customWidth="1"/>
    <col min="7" max="9" width="9.140625" style="13"/>
    <col min="10" max="10" width="13.42578125" style="13" customWidth="1"/>
    <col min="11" max="16384" width="9.140625" style="13"/>
  </cols>
  <sheetData>
    <row r="1" spans="2:13" ht="25.5" x14ac:dyDescent="0.35">
      <c r="G1" s="31" t="s">
        <v>348</v>
      </c>
      <c r="H1" s="31"/>
      <c r="I1" s="31"/>
      <c r="J1" s="31"/>
      <c r="K1" s="31"/>
      <c r="L1" s="31"/>
      <c r="M1" s="32"/>
    </row>
    <row r="4" spans="2:13" ht="18.75" x14ac:dyDescent="0.3">
      <c r="B4" s="10" t="s">
        <v>341</v>
      </c>
      <c r="C4" s="11" t="s">
        <v>342</v>
      </c>
      <c r="D4" s="11" t="s">
        <v>343</v>
      </c>
      <c r="E4" s="11" t="s">
        <v>344</v>
      </c>
      <c r="F4" s="12" t="s">
        <v>345</v>
      </c>
      <c r="H4" s="37"/>
    </row>
    <row r="5" spans="2:13" ht="18.75" x14ac:dyDescent="0.3">
      <c r="B5" s="38" t="s">
        <v>0</v>
      </c>
      <c r="C5" s="39" t="str">
        <f>IFERROR(VLOOKUP($B5, student_performance!$A:$O, 2, FALSE), "Check ID")</f>
        <v>Aarav</v>
      </c>
      <c r="D5" s="39" t="str">
        <f>IFERROR(VLOOKUP($B5, student_performance!$A:$O, 3, FALSE), "Check ID")</f>
        <v>Sharma</v>
      </c>
      <c r="E5" s="40">
        <f>IFERROR(VLOOKUP($B5, student_performance!$A:$O, 13, FALSE), "Check ID")</f>
        <v>0.51</v>
      </c>
      <c r="F5" s="41" t="str">
        <f>IFERROR(VLOOKUP($B5, student_performance!$A:$O, 14, FALSE), "Check ID")</f>
        <v>D</v>
      </c>
    </row>
  </sheetData>
  <phoneticPr fontId="1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1092-6850-440C-B2E8-93E33DC50802}">
  <dimension ref="A1:K5"/>
  <sheetViews>
    <sheetView showGridLines="0" showRowColHeaders="0" workbookViewId="0">
      <selection activeCell="G5" sqref="G5"/>
    </sheetView>
  </sheetViews>
  <sheetFormatPr defaultRowHeight="15" x14ac:dyDescent="0.25"/>
  <cols>
    <col min="1" max="1" width="13.85546875" bestFit="1" customWidth="1"/>
    <col min="2" max="2" width="14" bestFit="1" customWidth="1"/>
    <col min="3" max="3" width="13.85546875" bestFit="1" customWidth="1"/>
    <col min="4" max="4" width="14.85546875" bestFit="1" customWidth="1"/>
    <col min="5" max="5" width="13.5703125" customWidth="1"/>
  </cols>
  <sheetData>
    <row r="1" spans="1:11" ht="23.25" x14ac:dyDescent="0.35">
      <c r="E1" s="34" t="s">
        <v>346</v>
      </c>
      <c r="F1" s="34"/>
      <c r="G1" s="34"/>
      <c r="H1" s="34"/>
      <c r="I1" s="34"/>
      <c r="J1" s="34"/>
      <c r="K1" s="34"/>
    </row>
    <row r="4" spans="1:11" ht="18.75" x14ac:dyDescent="0.3">
      <c r="A4" s="22" t="s">
        <v>341</v>
      </c>
      <c r="B4" s="22" t="s">
        <v>342</v>
      </c>
      <c r="C4" s="22" t="s">
        <v>343</v>
      </c>
      <c r="D4" s="22" t="s">
        <v>344</v>
      </c>
      <c r="E4" s="22" t="s">
        <v>345</v>
      </c>
    </row>
    <row r="5" spans="1:11" ht="18.75" x14ac:dyDescent="0.3">
      <c r="A5" s="26" t="s">
        <v>18</v>
      </c>
      <c r="B5" s="26" t="str">
        <f>IFERROR(VLOOKUP($A5, student_performance!$A:$O, 2, FALSE), "Check ID")</f>
        <v>Akash</v>
      </c>
      <c r="C5" s="26" t="str">
        <f>IFERROR(VLOOKUP($A5, student_performance!$A:$O, 3, FALSE), "Check ID")</f>
        <v>Yadav</v>
      </c>
      <c r="D5" s="27">
        <f>IFERROR(VLOOKUP($A5, student_performance!$A:$O, 13, FALSE), "Check ID")</f>
        <v>0.56000000000000005</v>
      </c>
      <c r="E5" s="26" t="str">
        <f>IFERROR(VLOOKUP($A5, student_performance!$A:$O, 14, FALSE), "Check ID")</f>
        <v>D</v>
      </c>
    </row>
  </sheetData>
  <mergeCells count="1">
    <mergeCell ref="E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82F9-09B6-494F-9043-A725D2BAE4C4}">
  <dimension ref="B1:J9"/>
  <sheetViews>
    <sheetView showGridLines="0" workbookViewId="0">
      <selection activeCell="B5" sqref="B5"/>
    </sheetView>
  </sheetViews>
  <sheetFormatPr defaultRowHeight="15" x14ac:dyDescent="0.25"/>
  <cols>
    <col min="1" max="1" width="9.140625" style="13"/>
    <col min="2" max="2" width="13.140625" style="13" bestFit="1" customWidth="1"/>
    <col min="3" max="3" width="24.42578125" style="13" bestFit="1" customWidth="1"/>
    <col min="4" max="4" width="19.85546875" style="13" bestFit="1" customWidth="1"/>
    <col min="5" max="16384" width="9.140625" style="13"/>
  </cols>
  <sheetData>
    <row r="1" spans="2:10" ht="21" x14ac:dyDescent="0.35">
      <c r="E1" s="18"/>
      <c r="F1" s="23" t="s">
        <v>349</v>
      </c>
      <c r="G1" s="24"/>
      <c r="H1" s="24"/>
      <c r="I1" s="24"/>
      <c r="J1" s="25"/>
    </row>
    <row r="4" spans="2:10" x14ac:dyDescent="0.25">
      <c r="B4" s="17" t="s">
        <v>353</v>
      </c>
      <c r="C4" s="17" t="s">
        <v>354</v>
      </c>
    </row>
    <row r="5" spans="2:10" x14ac:dyDescent="0.25">
      <c r="B5" s="16" t="s">
        <v>333</v>
      </c>
      <c r="C5" s="14">
        <v>22.294117647058822</v>
      </c>
    </row>
    <row r="6" spans="2:10" x14ac:dyDescent="0.25">
      <c r="B6" s="16" t="s">
        <v>334</v>
      </c>
      <c r="C6" s="14">
        <v>15.125</v>
      </c>
    </row>
    <row r="7" spans="2:10" x14ac:dyDescent="0.25">
      <c r="B7" s="16" t="s">
        <v>335</v>
      </c>
      <c r="C7" s="14">
        <v>15.377358490566039</v>
      </c>
    </row>
    <row r="8" spans="2:10" x14ac:dyDescent="0.25">
      <c r="B8" s="16" t="s">
        <v>332</v>
      </c>
      <c r="C8" s="14">
        <v>14.636363636363637</v>
      </c>
    </row>
    <row r="9" spans="2:10" x14ac:dyDescent="0.25">
      <c r="B9" s="16" t="s">
        <v>331</v>
      </c>
      <c r="C9" s="14">
        <v>16.198347107438018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B438-694C-4C21-933B-629C4E914559}">
  <dimension ref="B1:M5"/>
  <sheetViews>
    <sheetView showGridLines="0" showRowColHeaders="0" workbookViewId="0">
      <selection activeCell="Q17" sqref="Q17"/>
    </sheetView>
  </sheetViews>
  <sheetFormatPr defaultRowHeight="15" x14ac:dyDescent="0.25"/>
  <cols>
    <col min="1" max="1" width="9.140625" style="13"/>
    <col min="2" max="2" width="9" style="13" bestFit="1" customWidth="1"/>
    <col min="3" max="3" width="8.28515625" style="13" bestFit="1" customWidth="1"/>
    <col min="4" max="4" width="8.7109375" style="13" bestFit="1" customWidth="1"/>
    <col min="5" max="5" width="9" style="13" bestFit="1" customWidth="1"/>
    <col min="6" max="6" width="7" style="13" bestFit="1" customWidth="1"/>
    <col min="7" max="16384" width="9.140625" style="13"/>
  </cols>
  <sheetData>
    <row r="1" spans="2:13" ht="21" x14ac:dyDescent="0.35">
      <c r="I1" s="35" t="s">
        <v>350</v>
      </c>
      <c r="J1" s="35"/>
      <c r="K1" s="35"/>
      <c r="L1" s="35"/>
      <c r="M1" s="35"/>
    </row>
    <row r="4" spans="2:13" x14ac:dyDescent="0.25">
      <c r="B4" s="15" t="s">
        <v>336</v>
      </c>
      <c r="C4" s="15" t="s">
        <v>337</v>
      </c>
      <c r="D4" s="15" t="s">
        <v>338</v>
      </c>
      <c r="E4" s="15" t="s">
        <v>339</v>
      </c>
      <c r="F4" s="15" t="s">
        <v>340</v>
      </c>
    </row>
    <row r="5" spans="2:13" x14ac:dyDescent="0.25">
      <c r="B5" s="14">
        <v>61.206611570247937</v>
      </c>
      <c r="C5" s="14">
        <v>54.785123966942152</v>
      </c>
      <c r="D5" s="14">
        <v>57.603305785123965</v>
      </c>
      <c r="E5" s="14">
        <v>53.041322314049587</v>
      </c>
      <c r="F5" s="14">
        <v>61.438016528925623</v>
      </c>
    </row>
  </sheetData>
  <mergeCells count="1">
    <mergeCell ref="I1:M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B775-F5B9-4D8E-8717-986FC4B95F8B}">
  <dimension ref="B1:J10"/>
  <sheetViews>
    <sheetView showGridLines="0" showRowColHeaders="0" workbookViewId="0">
      <selection activeCell="C13" sqref="C13"/>
    </sheetView>
  </sheetViews>
  <sheetFormatPr defaultRowHeight="15" x14ac:dyDescent="0.25"/>
  <cols>
    <col min="1" max="1" width="9.140625" style="13"/>
    <col min="2" max="2" width="13.140625" style="13" bestFit="1" customWidth="1"/>
    <col min="3" max="3" width="23.42578125" style="13" bestFit="1" customWidth="1"/>
    <col min="4" max="16384" width="9.140625" style="13"/>
  </cols>
  <sheetData>
    <row r="1" spans="2:10" ht="21" x14ac:dyDescent="0.35">
      <c r="F1" s="36" t="s">
        <v>351</v>
      </c>
      <c r="G1" s="36"/>
      <c r="H1" s="36"/>
      <c r="I1" s="36"/>
      <c r="J1" s="36"/>
    </row>
    <row r="4" spans="2:10" x14ac:dyDescent="0.25">
      <c r="B4" s="17" t="s">
        <v>318</v>
      </c>
      <c r="C4" s="17" t="s">
        <v>352</v>
      </c>
    </row>
    <row r="5" spans="2:10" x14ac:dyDescent="0.25">
      <c r="B5" s="16">
        <v>15</v>
      </c>
      <c r="C5" s="19">
        <v>0.61458333333333337</v>
      </c>
    </row>
    <row r="6" spans="2:10" x14ac:dyDescent="0.25">
      <c r="B6" s="16">
        <v>16</v>
      </c>
      <c r="C6" s="19">
        <v>0.59136363636363654</v>
      </c>
    </row>
    <row r="7" spans="2:10" x14ac:dyDescent="0.25">
      <c r="B7" s="16">
        <v>17</v>
      </c>
      <c r="C7" s="19">
        <v>0.59499999999999997</v>
      </c>
    </row>
    <row r="8" spans="2:10" x14ac:dyDescent="0.25">
      <c r="B8" s="16">
        <v>18</v>
      </c>
      <c r="C8" s="19">
        <v>0.52434782608695651</v>
      </c>
    </row>
    <row r="9" spans="2:10" x14ac:dyDescent="0.25">
      <c r="B9" s="16">
        <v>19</v>
      </c>
      <c r="C9" s="19">
        <v>0.55083333333333329</v>
      </c>
    </row>
    <row r="10" spans="2:10" x14ac:dyDescent="0.25">
      <c r="B10" s="20" t="s">
        <v>331</v>
      </c>
      <c r="C10" s="21">
        <v>0.57603305785123982</v>
      </c>
    </row>
  </sheetData>
  <mergeCells count="1">
    <mergeCell ref="F1:J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student_performance</vt:lpstr>
      <vt:lpstr>Dashboard</vt:lpstr>
      <vt:lpstr>Search Tool</vt:lpstr>
      <vt:lpstr>Behavioral Analysis</vt:lpstr>
      <vt:lpstr>Subject Analysis</vt:lpstr>
      <vt:lpstr>Demographic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vishwakarma</dc:creator>
  <cp:lastModifiedBy>Sneha vishwakarma</cp:lastModifiedBy>
  <dcterms:created xsi:type="dcterms:W3CDTF">2026-05-09T18:12:13Z</dcterms:created>
  <dcterms:modified xsi:type="dcterms:W3CDTF">2026-05-10T16:04:31Z</dcterms:modified>
</cp:coreProperties>
</file>